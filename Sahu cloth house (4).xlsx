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Revenue" sheetId="2" r:id="rId5"/>
    <sheet state="visible" name="Weekly Revenue Data" sheetId="3" r:id="rId6"/>
    <sheet state="visible" name="Calculations" sheetId="4" r:id="rId7"/>
    <sheet state="visible" name="Visuals" sheetId="5" r:id="rId8"/>
  </sheets>
  <definedNames/>
  <calcPr/>
</workbook>
</file>

<file path=xl/sharedStrings.xml><?xml version="1.0" encoding="utf-8"?>
<sst xmlns="http://schemas.openxmlformats.org/spreadsheetml/2006/main" count="274" uniqueCount="97">
  <si>
    <t>PRODUCT NAME</t>
  </si>
  <si>
    <t>Unit Rate (â‚¹)</t>
  </si>
  <si>
    <t>Wk1 (Feb3)</t>
  </si>
  <si>
    <t>Wk2 (Feb10)</t>
  </si>
  <si>
    <t>Wk3 (Feb17)</t>
  </si>
  <si>
    <t>Wk4 (Feb24)</t>
  </si>
  <si>
    <t>Wk5 (Mar3)</t>
  </si>
  <si>
    <t>Wk6 (Mar10)</t>
  </si>
  <si>
    <t>Wk7 (Mar17)</t>
  </si>
  <si>
    <t>Wk8 (Mar24)</t>
  </si>
  <si>
    <t>Wk9 (Mar31)</t>
  </si>
  <si>
    <t>Wk10 (Apr7)</t>
  </si>
  <si>
    <t>Wk11 (Apr14)</t>
  </si>
  <si>
    <t>Wk12 (Apr20)</t>
  </si>
  <si>
    <t>Total</t>
  </si>
  <si>
    <t>Ladies' Suit (Pcs.)</t>
  </si>
  <si>
    <t>Men's Shirt (Pcs.)</t>
  </si>
  <si>
    <t>Ladies Slippers (Pairs)</t>
  </si>
  <si>
    <t>Dish Soap Bar (Pcs.)</t>
  </si>
  <si>
    <t>Bizz Detergent Powder (Pkt.)</t>
  </si>
  <si>
    <t>Amla Candy (200gm) (Pkt.)</t>
  </si>
  <si>
    <t>Green Tea (20 bags) (Pkt.)</t>
  </si>
  <si>
    <t>Coconut Oil (175ml) (Pcs.)</t>
  </si>
  <si>
    <t>Atta Noodles (Pkt.)</t>
  </si>
  <si>
    <t>Coconut Biscuits (Pkt.)</t>
  </si>
  <si>
    <t>Aaloo Bhujia (Pkt.)</t>
  </si>
  <si>
    <t>Red Chilli Powder (100gm) (Pkt.)</t>
  </si>
  <si>
    <t>Chaat Masala (100gm) (Pkt.)</t>
  </si>
  <si>
    <t>Jasmine Soap (Pcs.)</t>
  </si>
  <si>
    <t>Nutricharge Woman (Pkt.)</t>
  </si>
  <si>
    <t>Gamma Oryzanol (Pcs.)</t>
  </si>
  <si>
    <t>Nutricharge Bioage (Pcs.)</t>
  </si>
  <si>
    <t>Nutricharge Veg Omega (Pcs.)</t>
  </si>
  <si>
    <t>Rice Bran Oil (Lts.)</t>
  </si>
  <si>
    <t>Pasta (Pkt.)</t>
  </si>
  <si>
    <t>Liquid Handwash (200ml) (Pcs.)</t>
  </si>
  <si>
    <t>Opening Balance(in Rs.)</t>
  </si>
  <si>
    <t>Sale</t>
  </si>
  <si>
    <t>Sale Return</t>
  </si>
  <si>
    <t>Purchase</t>
  </si>
  <si>
    <t xml:space="preserve">    </t>
  </si>
  <si>
    <t>Week</t>
  </si>
  <si>
    <t>Total Sale Amount</t>
  </si>
  <si>
    <t>Account</t>
  </si>
  <si>
    <t>Cash Balance</t>
  </si>
  <si>
    <t>Name of the Item</t>
  </si>
  <si>
    <t>Total Sale</t>
  </si>
  <si>
    <t>Max Sale</t>
  </si>
  <si>
    <t>Min Sale</t>
  </si>
  <si>
    <t>Revenue Generated (Rate * Total sale)</t>
  </si>
  <si>
    <t>Average Weekly Sales</t>
  </si>
  <si>
    <t>Average Price</t>
  </si>
  <si>
    <t>Average Weekly Revenue</t>
  </si>
  <si>
    <t>Total Weekly Sales</t>
  </si>
  <si>
    <t>Revenue Generated</t>
  </si>
  <si>
    <t>Ladies' Suit</t>
  </si>
  <si>
    <t>Sales</t>
  </si>
  <si>
    <t xml:space="preserve">R-squared </t>
  </si>
  <si>
    <t>T-test</t>
  </si>
  <si>
    <t>Return Rate</t>
  </si>
  <si>
    <t>Others</t>
  </si>
  <si>
    <t>Zero Count</t>
  </si>
  <si>
    <t xml:space="preserve">Sporadic Demand </t>
  </si>
  <si>
    <t>Mean</t>
  </si>
  <si>
    <t>Std Dev</t>
  </si>
  <si>
    <t>CV</t>
  </si>
  <si>
    <t>Metric</t>
  </si>
  <si>
    <t>Value</t>
  </si>
  <si>
    <t>Min Weekly Revenue</t>
  </si>
  <si>
    <t>Mean Weekly Revenue</t>
  </si>
  <si>
    <t>Max Weekly Revenue</t>
  </si>
  <si>
    <t>Std Dev Weekly Revenue</t>
  </si>
  <si>
    <t>Max Weekly Variation (%)</t>
  </si>
  <si>
    <t>CV Weekly Revenue (%)</t>
  </si>
  <si>
    <t xml:space="preserve">Revenue Generated </t>
  </si>
  <si>
    <t>Cummulative Value</t>
  </si>
  <si>
    <t>Cumulative %</t>
  </si>
  <si>
    <t>ABC Category</t>
  </si>
  <si>
    <t>February Revenue</t>
  </si>
  <si>
    <t>March Revenue</t>
  </si>
  <si>
    <t>April Revenue</t>
  </si>
  <si>
    <t>Max Weekly Fluctuation (%)</t>
  </si>
  <si>
    <t>March Growth over Feb (%)</t>
  </si>
  <si>
    <t>Total Zero Sales Instances</t>
  </si>
  <si>
    <t>April Decline over Mar (%)</t>
  </si>
  <si>
    <t>Products with ≥3 Zero Sales Weeks</t>
  </si>
  <si>
    <t>Min Weekly Units Sold</t>
  </si>
  <si>
    <t>Number of Products for 80% Revenue</t>
  </si>
  <si>
    <t>Max Weekly Units Sold</t>
  </si>
  <si>
    <t>% Revenue by Top Products</t>
  </si>
  <si>
    <t>Avg Weekly Units Sold</t>
  </si>
  <si>
    <t>Revenue</t>
  </si>
  <si>
    <t>कॉलम 3</t>
  </si>
  <si>
    <t>%Share of Sales</t>
  </si>
  <si>
    <t xml:space="preserve"> % Share of Revenue</t>
  </si>
  <si>
    <t>R-Squared</t>
  </si>
  <si>
    <t>Ladies Winter Suite (Pcs.)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</si>
</sst>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#,##0"/>
  </numFmts>
  <fonts count="25">
    <font>
      <sz val="10.0"/>
      <color rgb="FF000000"/>
      <name val="Arial"/>
      <scheme val="minor"/>
    </font>
    <font>
      <sz val="10.0"/>
      <color rgb="FFFFFFFF"/>
      <name val="Roboto"/>
    </font>
    <font>
      <sz val="11.0"/>
      <color rgb="FFFFFFFF"/>
      <name val="Calibri"/>
    </font>
    <font>
      <color rgb="FFFFFFFF"/>
      <name val="Arial"/>
      <scheme val="minor"/>
    </font>
    <font>
      <sz val="10.0"/>
      <color rgb="FF434343"/>
      <name val="Roboto"/>
    </font>
    <font>
      <sz val="11.0"/>
      <color rgb="FF434343"/>
      <name val="Calibri"/>
    </font>
    <font>
      <color theme="1"/>
      <name val="Arial"/>
    </font>
    <font>
      <color theme="1"/>
      <name val="FkGroteskNeue"/>
    </font>
    <font>
      <color rgb="FF434343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4472C4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b/>
      <sz val="10.0"/>
      <color rgb="FF000000"/>
      <name val="Roboto"/>
    </font>
    <font>
      <b/>
      <color rgb="FF000000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BerkeleyMono"/>
    </font>
    <font>
      <sz val="10.0"/>
      <color rgb="FF000000"/>
      <name val="Roboto"/>
    </font>
    <font>
      <color rgb="FF000000"/>
      <name val="FkGroteskNeue"/>
    </font>
    <font>
      <color theme="1"/>
      <name val="BerkeleyMono"/>
    </font>
    <font>
      <color rgb="FF434343"/>
      <name val="FkGroteskNeue"/>
    </font>
    <font>
      <color rgb="FF43434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2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</border>
    <border>
      <left style="thin">
        <color rgb="FF000000"/>
      </left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000000"/>
      </left>
      <right style="thin">
        <color rgb="FFE5E7EB"/>
      </right>
      <top style="thin">
        <color rgb="FF000000"/>
      </top>
      <bottom style="thin">
        <color rgb="FFE5E7EB"/>
      </bottom>
    </border>
    <border>
      <left style="thin">
        <color rgb="FFE5E7EB"/>
      </left>
      <right style="thin">
        <color rgb="FF000000"/>
      </right>
      <top style="thin">
        <color rgb="FF000000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left style="thin">
        <color rgb="FF000000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000000"/>
      </right>
      <top style="thin">
        <color rgb="FFE5E7EB"/>
      </top>
      <bottom style="thin">
        <color rgb="FFE5E7EB"/>
      </bottom>
    </border>
    <border>
      <left style="thin">
        <color rgb="FF000000"/>
      </left>
      <right style="thin">
        <color rgb="FFE5E7EB"/>
      </right>
      <top style="thin">
        <color rgb="FFE5E7EB"/>
      </top>
      <bottom style="thin">
        <color rgb="FF000000"/>
      </bottom>
    </border>
    <border>
      <left style="thin">
        <color rgb="FFE5E7EB"/>
      </left>
      <right style="thin">
        <color rgb="FF000000"/>
      </right>
      <top style="thin">
        <color rgb="FFE5E7EB"/>
      </top>
      <bottom style="thin">
        <color rgb="FF000000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3" numFmtId="0" xfId="0" applyFont="1"/>
    <xf borderId="2" fillId="0" fontId="4" numFmtId="0" xfId="0" applyAlignment="1" applyBorder="1" applyFont="1">
      <alignment readingOrder="0" shrinkToFit="0" vertical="bottom" wrapText="0"/>
    </xf>
    <xf borderId="3" fillId="0" fontId="5" numFmtId="4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readingOrder="0" shrinkToFit="0" vertical="center" wrapText="0"/>
    </xf>
    <xf borderId="4" fillId="0" fontId="7" numFmtId="0" xfId="0" applyAlignment="1" applyBorder="1" applyFont="1">
      <alignment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horizontal="right" readingOrder="0" shrinkToFit="0" vertical="bottom" wrapText="0"/>
    </xf>
    <xf borderId="4" fillId="0" fontId="7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horizontal="right" shrinkToFit="0" vertical="bottom" wrapText="0"/>
    </xf>
    <xf borderId="3" fillId="0" fontId="5" numFmtId="0" xfId="0" applyAlignment="1" applyBorder="1" applyFont="1">
      <alignment horizontal="right" shrinkToFit="0" vertical="bottom" wrapText="0"/>
    </xf>
    <xf borderId="6" fillId="2" fontId="4" numFmtId="0" xfId="0" applyAlignment="1" applyBorder="1" applyFill="1" applyFont="1">
      <alignment readingOrder="0" shrinkToFit="0" vertical="center" wrapText="0"/>
    </xf>
    <xf borderId="7" fillId="2" fontId="9" numFmtId="0" xfId="0" applyAlignment="1" applyBorder="1" applyFont="1">
      <alignment readingOrder="0" shrinkToFit="0" vertical="center" wrapText="0"/>
    </xf>
    <xf borderId="7" fillId="2" fontId="9" numFmtId="0" xfId="0" applyAlignment="1" applyBorder="1" applyFont="1">
      <alignment readingOrder="0" shrinkToFit="0" vertical="center" wrapText="0"/>
    </xf>
    <xf borderId="8" fillId="3" fontId="9" numFmtId="0" xfId="0" applyAlignment="1" applyBorder="1" applyFill="1" applyFont="1">
      <alignment readingOrder="0" shrinkToFit="0" vertical="center" wrapText="0"/>
    </xf>
    <xf borderId="0" fillId="0" fontId="4" numFmtId="0" xfId="0" applyFont="1"/>
    <xf borderId="0" fillId="4" fontId="4" numFmtId="0" xfId="0" applyFill="1" applyFont="1"/>
    <xf borderId="0" fillId="4" fontId="9" numFmtId="0" xfId="0" applyFont="1"/>
    <xf borderId="0" fillId="4" fontId="5" numFmtId="0" xfId="0" applyAlignment="1" applyFont="1">
      <alignment horizontal="right" readingOrder="0"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9" numFmtId="0" xfId="0" applyAlignment="1" applyFont="1">
      <alignment readingOrder="0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shrinkToFit="0" vertical="center" wrapText="0"/>
    </xf>
    <xf borderId="3" fillId="4" fontId="5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5" fillId="0" fontId="10" numFmtId="0" xfId="0" applyAlignment="1" applyBorder="1" applyFont="1">
      <alignment shrinkToFit="0" vertical="bottom" wrapText="0"/>
    </xf>
    <xf borderId="3" fillId="5" fontId="5" numFmtId="0" xfId="0" applyAlignment="1" applyBorder="1" applyFill="1" applyFont="1">
      <alignment readingOrder="0" shrinkToFit="0" vertical="bottom" wrapText="0"/>
    </xf>
    <xf borderId="3" fillId="0" fontId="10" numFmtId="0" xfId="0" applyAlignment="1" applyBorder="1" applyFont="1">
      <alignment shrinkToFit="0" vertical="bottom" wrapText="0"/>
    </xf>
    <xf borderId="5" fillId="0" fontId="10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/>
    </xf>
    <xf borderId="6" fillId="0" fontId="9" numFmtId="49" xfId="0" applyAlignment="1" applyBorder="1" applyFont="1" applyNumberFormat="1">
      <alignment readingOrder="0" shrinkToFit="0" vertical="center" wrapText="0"/>
    </xf>
    <xf borderId="7" fillId="4" fontId="5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readingOrder="0" shrinkToFit="0" vertical="bottom" wrapText="0"/>
    </xf>
    <xf borderId="8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2" fillId="0" fontId="11" numFmtId="0" xfId="0" applyAlignment="1" applyBorder="1" applyFont="1">
      <alignment horizontal="center" readingOrder="0" shrinkToFit="0" vertical="bottom" wrapText="0"/>
    </xf>
    <xf borderId="3" fillId="0" fontId="11" numFmtId="0" xfId="0" applyAlignment="1" applyBorder="1" applyFont="1">
      <alignment horizontal="center" readingOrder="0" shrinkToFit="0" vertical="bottom" wrapText="0"/>
    </xf>
    <xf borderId="5" fillId="0" fontId="11" numFmtId="0" xfId="0" applyAlignment="1" applyBorder="1" applyFont="1">
      <alignment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7" fillId="0" fontId="11" numFmtId="0" xfId="0" applyAlignment="1" applyBorder="1" applyFont="1">
      <alignment horizontal="center" readingOrder="0" shrinkToFit="0" vertical="bottom" wrapText="0"/>
    </xf>
    <xf borderId="8" fillId="0" fontId="11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horizontal="center" vertical="bottom"/>
    </xf>
    <xf borderId="10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12" numFmtId="0" xfId="0" applyAlignment="1" applyFont="1">
      <alignment horizontal="center"/>
    </xf>
    <xf borderId="1" fillId="0" fontId="9" numFmtId="0" xfId="0" applyAlignment="1" applyBorder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vertical="bottom"/>
    </xf>
    <xf borderId="3" fillId="0" fontId="9" numFmtId="0" xfId="0" applyAlignment="1" applyBorder="1" applyFont="1">
      <alignment shrinkToFit="0" vertical="center" wrapText="0"/>
    </xf>
    <xf borderId="3" fillId="0" fontId="9" numFmtId="0" xfId="0" applyAlignment="1" applyBorder="1" applyFont="1">
      <alignment shrinkToFit="0" vertical="center" wrapText="0"/>
    </xf>
    <xf borderId="3" fillId="0" fontId="9" numFmtId="0" xfId="0" applyAlignment="1" applyBorder="1" applyFont="1">
      <alignment shrinkToFit="0" vertical="center" wrapText="0"/>
    </xf>
    <xf borderId="3" fillId="0" fontId="9" numFmtId="4" xfId="0" applyAlignment="1" applyBorder="1" applyFont="1" applyNumberFormat="1">
      <alignment shrinkToFit="0" vertical="center" wrapText="0"/>
    </xf>
    <xf borderId="5" fillId="0" fontId="9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horizontal="center" readingOrder="0" shrinkToFit="0" vertical="bottom" wrapText="0"/>
    </xf>
    <xf borderId="3" fillId="0" fontId="9" numFmtId="0" xfId="0" applyAlignment="1" applyBorder="1" applyFont="1">
      <alignment shrinkToFit="0" vertical="center" wrapText="0"/>
    </xf>
    <xf borderId="2" fillId="0" fontId="10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shrinkToFit="0" vertical="center" wrapText="0"/>
    </xf>
    <xf borderId="2" fillId="0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2" fillId="0" fontId="9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horizontal="right" readingOrder="0" shrinkToFit="0" vertical="bottom" wrapText="0"/>
    </xf>
    <xf borderId="6" fillId="0" fontId="9" numFmtId="0" xfId="0" applyAlignment="1" applyBorder="1" applyFont="1">
      <alignment readingOrder="0" shrinkToFit="0" vertical="center" wrapText="0"/>
    </xf>
    <xf borderId="8" fillId="0" fontId="9" numFmtId="0" xfId="0" applyAlignment="1" applyBorder="1" applyFont="1">
      <alignment shrinkToFit="0" vertical="center" wrapText="0"/>
    </xf>
    <xf borderId="6" fillId="0" fontId="9" numFmtId="0" xfId="0" applyAlignment="1" applyBorder="1" applyFont="1">
      <alignment shrinkToFit="0" vertical="center" wrapText="0"/>
    </xf>
    <xf borderId="6" fillId="0" fontId="10" numFmtId="0" xfId="0" applyAlignment="1" applyBorder="1" applyFont="1">
      <alignment horizontal="center" shrinkToFit="0" vertical="bottom" wrapText="0"/>
    </xf>
    <xf borderId="8" fillId="0" fontId="10" numFmtId="0" xfId="0" applyAlignment="1" applyBorder="1" applyFont="1">
      <alignment horizontal="center" shrinkToFit="0" vertical="bottom" wrapText="0"/>
    </xf>
    <xf borderId="6" fillId="0" fontId="9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horizontal="right" readingOrder="0" shrinkToFit="0" vertical="bottom" wrapText="0"/>
    </xf>
    <xf borderId="0" fillId="0" fontId="9" numFmtId="0" xfId="0" applyFont="1"/>
    <xf borderId="0" fillId="0" fontId="12" numFmtId="0" xfId="0" applyAlignment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6" fillId="0" fontId="9" numFmtId="0" xfId="0" applyAlignment="1" applyBorder="1" applyFont="1">
      <alignment readingOrder="0" shrinkToFit="0" vertical="center" wrapText="0"/>
    </xf>
    <xf borderId="8" fillId="0" fontId="9" numFmtId="0" xfId="0" applyAlignment="1" applyBorder="1" applyFont="1">
      <alignment shrinkToFit="0" vertical="center" wrapText="0"/>
    </xf>
    <xf borderId="2" fillId="2" fontId="14" numFmtId="0" xfId="0" applyAlignment="1" applyBorder="1" applyFont="1">
      <alignment readingOrder="0" shrinkToFit="0" vertical="center" wrapText="0"/>
    </xf>
    <xf borderId="3" fillId="2" fontId="14" numFmtId="0" xfId="0" applyAlignment="1" applyBorder="1" applyFont="1">
      <alignment shrinkToFit="0" vertical="center" wrapText="0"/>
    </xf>
    <xf borderId="3" fillId="2" fontId="14" numFmtId="0" xfId="0" applyAlignment="1" applyBorder="1" applyFont="1">
      <alignment shrinkToFit="0" vertical="center" wrapText="0"/>
    </xf>
    <xf borderId="5" fillId="2" fontId="14" numFmtId="0" xfId="0" applyAlignment="1" applyBorder="1" applyFont="1">
      <alignment shrinkToFit="0" vertical="center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3" fillId="2" fontId="9" numFmtId="0" xfId="0" applyAlignment="1" applyBorder="1" applyFont="1">
      <alignment shrinkToFit="0" vertical="center" wrapText="0"/>
    </xf>
    <xf borderId="3" fillId="2" fontId="18" numFmtId="0" xfId="0" applyAlignment="1" applyBorder="1" applyFont="1">
      <alignment horizontal="right" shrinkToFit="0" vertical="center" wrapText="0"/>
    </xf>
    <xf borderId="3" fillId="2" fontId="19" numFmtId="4" xfId="0" applyAlignment="1" applyBorder="1" applyFont="1" applyNumberFormat="1">
      <alignment horizontal="right" shrinkToFit="0" vertical="center" wrapText="0"/>
    </xf>
    <xf borderId="5" fillId="2" fontId="19" numFmtId="0" xfId="0" applyAlignment="1" applyBorder="1" applyFont="1">
      <alignment horizontal="right" shrinkToFit="0" vertical="center" wrapText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Font="1"/>
    <xf borderId="0" fillId="0" fontId="17" numFmtId="0" xfId="0" applyFont="1"/>
    <xf borderId="3" fillId="2" fontId="19" numFmtId="0" xfId="0" applyAlignment="1" applyBorder="1" applyFont="1">
      <alignment horizontal="right" shrinkToFit="0" vertical="center" wrapText="0"/>
    </xf>
    <xf borderId="6" fillId="2" fontId="14" numFmtId="0" xfId="0" applyAlignment="1" applyBorder="1" applyFont="1">
      <alignment readingOrder="0" shrinkToFit="0" vertical="center" wrapText="0"/>
    </xf>
    <xf borderId="7" fillId="2" fontId="9" numFmtId="0" xfId="0" applyAlignment="1" applyBorder="1" applyFont="1">
      <alignment shrinkToFit="0" vertical="center" wrapText="0"/>
    </xf>
    <xf borderId="7" fillId="2" fontId="19" numFmtId="0" xfId="0" applyAlignment="1" applyBorder="1" applyFont="1">
      <alignment horizontal="right" shrinkToFit="0" vertical="center" wrapText="0"/>
    </xf>
    <xf borderId="7" fillId="2" fontId="18" numFmtId="0" xfId="0" applyAlignment="1" applyBorder="1" applyFont="1">
      <alignment horizontal="right" shrinkToFit="0" vertical="center" wrapText="0"/>
    </xf>
    <xf borderId="8" fillId="2" fontId="19" numFmtId="0" xfId="0" applyAlignment="1" applyBorder="1" applyFont="1">
      <alignment horizontal="right" shrinkToFit="0" vertical="center" wrapText="0"/>
    </xf>
    <xf borderId="11" fillId="0" fontId="6" numFmtId="0" xfId="0" applyAlignment="1" applyBorder="1" applyFont="1">
      <alignment horizontal="left" readingOrder="0" shrinkToFit="0" vertical="top" wrapText="0"/>
    </xf>
    <xf borderId="12" fillId="0" fontId="6" numFmtId="0" xfId="0" applyAlignment="1" applyBorder="1" applyFont="1">
      <alignment horizontal="left" readingOrder="0" shrinkToFit="0" vertical="top" wrapText="0"/>
    </xf>
    <xf borderId="13" fillId="0" fontId="7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readingOrder="0" shrinkToFit="0" vertical="top" wrapText="0"/>
    </xf>
    <xf borderId="1" fillId="0" fontId="6" numFmtId="0" xfId="0" applyAlignment="1" applyBorder="1" applyFont="1">
      <alignment horizontal="left" readingOrder="0" shrinkToFit="0" vertical="top" wrapText="0"/>
    </xf>
    <xf borderId="0" fillId="0" fontId="7" numFmtId="0" xfId="0" applyAlignment="1" applyFont="1">
      <alignment horizontal="left" readingOrder="0" vertical="top"/>
    </xf>
    <xf borderId="14" fillId="0" fontId="7" numFmtId="0" xfId="0" applyAlignment="1" applyBorder="1" applyFont="1">
      <alignment readingOrder="0" shrinkToFit="0" vertical="center" wrapText="0"/>
    </xf>
    <xf borderId="15" fillId="0" fontId="22" numFmtId="0" xfId="0" applyAlignment="1" applyBorder="1" applyFont="1">
      <alignment shrinkToFit="0" vertical="center" wrapText="0"/>
    </xf>
    <xf borderId="16" fillId="0" fontId="7" numFmtId="164" xfId="0" applyBorder="1" applyFont="1" applyNumberFormat="1"/>
    <xf borderId="2" fillId="0" fontId="7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shrinkToFit="0" vertical="center" wrapText="0"/>
    </xf>
    <xf borderId="0" fillId="0" fontId="7" numFmtId="10" xfId="0" applyAlignment="1" applyFont="1" applyNumberFormat="1">
      <alignment readingOrder="0"/>
    </xf>
    <xf borderId="17" fillId="0" fontId="7" numFmtId="0" xfId="0" applyAlignment="1" applyBorder="1" applyFont="1">
      <alignment readingOrder="0" shrinkToFit="0" vertical="center" wrapText="0"/>
    </xf>
    <xf borderId="18" fillId="0" fontId="22" numFmtId="0" xfId="0" applyAlignment="1" applyBorder="1" applyFont="1">
      <alignment shrinkToFit="0" vertical="center" wrapText="0"/>
    </xf>
    <xf borderId="5" fillId="0" fontId="7" numFmtId="0" xfId="0" applyAlignment="1" applyBorder="1" applyFont="1">
      <alignment shrinkToFit="0" vertical="center" wrapText="0"/>
    </xf>
    <xf borderId="0" fillId="0" fontId="7" numFmtId="9" xfId="0" applyAlignment="1" applyFont="1" applyNumberFormat="1">
      <alignment readingOrder="0"/>
    </xf>
    <xf borderId="18" fillId="0" fontId="22" numFmtId="0" xfId="0" applyAlignment="1" applyBorder="1" applyFont="1">
      <alignment shrinkToFit="0" vertical="center" wrapText="0"/>
    </xf>
    <xf borderId="16" fillId="0" fontId="7" numFmtId="9" xfId="0" applyBorder="1" applyFont="1" applyNumberFormat="1"/>
    <xf borderId="0" fillId="0" fontId="7" numFmtId="0" xfId="0" applyAlignment="1" applyFont="1">
      <alignment readingOrder="0"/>
    </xf>
    <xf borderId="5" fillId="0" fontId="9" numFmtId="49" xfId="0" applyAlignment="1" applyBorder="1" applyFont="1" applyNumberFormat="1">
      <alignment shrinkToFit="0" vertical="center" wrapText="0"/>
    </xf>
    <xf borderId="16" fillId="0" fontId="7" numFmtId="10" xfId="0" applyBorder="1" applyFont="1" applyNumberFormat="1"/>
    <xf borderId="5" fillId="0" fontId="6" numFmtId="0" xfId="0" applyAlignment="1" applyBorder="1" applyFont="1">
      <alignment readingOrder="0" shrinkToFit="0" vertical="center" wrapText="0"/>
    </xf>
    <xf borderId="16" fillId="0" fontId="7" numFmtId="0" xfId="0" applyBorder="1" applyFont="1"/>
    <xf borderId="2" fillId="0" fontId="6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shrinkToFit="0" vertical="center" wrapText="0"/>
    </xf>
    <xf borderId="19" fillId="0" fontId="7" numFmtId="0" xfId="0" applyAlignment="1" applyBorder="1" applyFont="1">
      <alignment readingOrder="0" shrinkToFit="0" vertical="center" wrapText="0"/>
    </xf>
    <xf borderId="20" fillId="0" fontId="22" numFmtId="0" xfId="0" applyAlignment="1" applyBorder="1" applyFont="1">
      <alignment shrinkToFit="0" vertical="center" wrapText="0"/>
    </xf>
    <xf borderId="21" fillId="0" fontId="7" numFmtId="0" xfId="0" applyAlignment="1" applyBorder="1" applyFont="1">
      <alignment readingOrder="0"/>
    </xf>
    <xf borderId="3" fillId="0" fontId="10" numFmtId="0" xfId="0" applyAlignment="1" applyBorder="1" applyFont="1">
      <alignment horizontal="center" shrinkToFit="0" vertical="bottom" wrapText="0"/>
    </xf>
    <xf borderId="4" fillId="4" fontId="23" numFmtId="0" xfId="0" applyAlignment="1" applyBorder="1" applyFont="1">
      <alignment horizontal="right" shrinkToFit="0" wrapText="0"/>
    </xf>
    <xf borderId="0" fillId="0" fontId="9" numFmtId="0" xfId="0" applyFont="1"/>
    <xf borderId="0" fillId="4" fontId="20" numFmtId="0" xfId="0" applyAlignment="1" applyFont="1">
      <alignment readingOrder="0"/>
    </xf>
    <xf borderId="5" fillId="0" fontId="6" numFmtId="0" xfId="0" applyAlignment="1" applyBorder="1" applyFont="1">
      <alignment readingOrder="0" shrinkToFit="0" vertical="center" wrapText="0"/>
    </xf>
    <xf borderId="0" fillId="4" fontId="24" numFmtId="0" xfId="0" applyAlignment="1" applyFont="1">
      <alignment horizontal="right" shrinkToFit="0" wrapText="0"/>
    </xf>
    <xf borderId="7" fillId="0" fontId="9" numFmtId="0" xfId="0" applyAlignment="1" applyBorder="1" applyFont="1">
      <alignment shrinkToFit="0" vertical="center" wrapText="0"/>
    </xf>
    <xf borderId="7" fillId="0" fontId="9" numFmtId="0" xfId="0" applyAlignment="1" applyBorder="1" applyFont="1">
      <alignment shrinkToFit="0" vertical="center" wrapText="0"/>
    </xf>
    <xf borderId="8" fillId="0" fontId="9" numFmtId="49" xfId="0" applyAlignment="1" applyBorder="1" applyFont="1" applyNumberFormat="1">
      <alignment shrinkToFit="0" vertical="center" wrapText="0"/>
    </xf>
    <xf borderId="7" fillId="0" fontId="10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left" shrinkToFit="0" vertical="center" wrapText="0"/>
    </xf>
    <xf borderId="0" fillId="0" fontId="9" numFmtId="0" xfId="0" applyAlignment="1" applyFont="1">
      <alignment readingOrder="0"/>
    </xf>
    <xf borderId="8" fillId="0" fontId="6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9" numFmtId="0" xfId="0" applyFont="1"/>
    <xf borderId="6" fillId="0" fontId="4" numFmtId="0" xfId="0" applyAlignment="1" applyBorder="1" applyFont="1">
      <alignment readingOrder="0" shrinkToFit="0" vertical="bottom" wrapText="0"/>
    </xf>
    <xf borderId="0" fillId="0" fontId="9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6">
    <tableStyle count="3" pivot="0" name="Sales-style">
      <tableStyleElement dxfId="1" type="headerRow"/>
      <tableStyleElement dxfId="2" type="firstRowStripe"/>
      <tableStyleElement dxfId="3" type="secondRowStripe"/>
    </tableStyle>
    <tableStyle count="2" pivot="0" name="Sales-style 2">
      <tableStyleElement dxfId="3" type="firstRowStripe"/>
      <tableStyleElement dxfId="2" type="secondRowStripe"/>
    </tableStyle>
    <tableStyle count="2" pivot="0" name="Sales-style 3">
      <tableStyleElement dxfId="3" type="firstRowStripe"/>
      <tableStyleElement dxfId="2" type="secondRowStripe"/>
    </tableStyle>
    <tableStyle count="3" pivot="0" name="Revenue-style">
      <tableStyleElement dxfId="1" type="headerRow"/>
      <tableStyleElement dxfId="2" type="firstRowStripe"/>
      <tableStyleElement dxfId="3" type="secondRowStripe"/>
    </tableStyle>
    <tableStyle count="3" pivot="0" name="Weekly Revenue Data-style">
      <tableStyleElement dxfId="1" type="headerRow"/>
      <tableStyleElement dxfId="2" type="firstRowStripe"/>
      <tableStyleElement dxfId="3" type="secondRowStripe"/>
    </tableStyle>
    <tableStyle count="3" pivot="0" name="Calculations-style">
      <tableStyleElement dxfId="1" type="headerRow"/>
      <tableStyleElement dxfId="2" type="firstRowStripe"/>
      <tableStyleElement dxfId="4" type="secondRowStripe"/>
    </tableStyle>
    <tableStyle count="3" pivot="0" name="Calculations-style 2">
      <tableStyleElement dxfId="1" type="headerRow"/>
      <tableStyleElement dxfId="2" type="firstRowStripe"/>
      <tableStyleElement dxfId="4" type="secondRowStripe"/>
    </tableStyle>
    <tableStyle count="3" pivot="0" name="Calculations-style 3">
      <tableStyleElement dxfId="1" type="headerRow"/>
      <tableStyleElement dxfId="2" type="firstRowStripe"/>
      <tableStyleElement dxfId="4" type="secondRowStripe"/>
    </tableStyle>
    <tableStyle count="2" pivot="0" name="Calculations-style 4">
      <tableStyleElement dxfId="2" type="firstRowStripe"/>
      <tableStyleElement dxfId="4" type="secondRowStripe"/>
    </tableStyle>
    <tableStyle count="3" pivot="0" name="Calculations-style 5">
      <tableStyleElement dxfId="1" type="headerRow"/>
      <tableStyleElement dxfId="2" type="firstRowStripe"/>
      <tableStyleElement dxfId="4" type="secondRowStripe"/>
    </tableStyle>
    <tableStyle count="3" pivot="0" name="Calculations-style 6">
      <tableStyleElement dxfId="1" type="headerRow"/>
      <tableStyleElement dxfId="2" type="firstRowStripe"/>
      <tableStyleElement dxfId="4" type="secondRowStripe"/>
    </tableStyle>
    <tableStyle count="3" pivot="0" name="Calculations-style 7">
      <tableStyleElement dxfId="1" type="headerRow"/>
      <tableStyleElement dxfId="2" type="firstRowStripe"/>
      <tableStyleElement dxfId="4" type="secondRowStripe"/>
    </tableStyle>
    <tableStyle count="3" pivot="0" name="Calculations-style 8">
      <tableStyleElement dxfId="1" type="headerRow"/>
      <tableStyleElement dxfId="2" type="firstRowStripe"/>
      <tableStyleElement dxfId="4" type="secondRowStripe"/>
    </tableStyle>
    <tableStyle count="3" pivot="0" name="Calculations-style 9">
      <tableStyleElement dxfId="1" type="headerRow"/>
      <tableStyleElement dxfId="2" type="firstRowStripe"/>
      <tableStyleElement dxfId="4" type="secondRowStripe"/>
    </tableStyle>
    <tableStyle count="3" pivot="0" name="Calculations-style 10">
      <tableStyleElement dxfId="1" type="headerRow"/>
      <tableStyleElement dxfId="2" type="firstRowStripe"/>
      <tableStyleElement dxfId="4" type="secondRowStripe"/>
    </tableStyle>
    <tableStyle count="3" pivot="0" name="Calculations-style 11">
      <tableStyleElement dxfId="1" type="headerRow"/>
      <tableStyleElement dxfId="2" type="firstRowStripe"/>
      <tableStyleElement dxfId="4" type="secondRowStripe"/>
    </tableStyle>
    <tableStyle count="3" pivot="0" name="Calculations-style 12">
      <tableStyleElement dxfId="1" type="headerRow"/>
      <tableStyleElement dxfId="2" type="firstRowStripe"/>
      <tableStyleElement dxfId="4" type="secondRowStripe"/>
    </tableStyle>
    <tableStyle count="3" pivot="0" name="Calculations-style 13">
      <tableStyleElement dxfId="1" type="headerRow"/>
      <tableStyleElement dxfId="2" type="firstRowStripe"/>
      <tableStyleElement dxfId="4" type="secondRowStripe"/>
    </tableStyle>
    <tableStyle count="3" pivot="0" name="Calculations-style 14">
      <tableStyleElement dxfId="1" type="headerRow"/>
      <tableStyleElement dxfId="2" type="firstRowStripe"/>
      <tableStyleElement dxfId="4" type="secondRowStripe"/>
    </tableStyle>
    <tableStyle count="2" pivot="0" name="Calculations-style 15">
      <tableStyleElement dxfId="2" type="firstRowStripe"/>
      <tableStyleElement dxfId="3" type="secondRowStripe"/>
    </tableStyle>
    <tableStyle count="3" pivot="0" name="Calculations-style 16">
      <tableStyleElement dxfId="1" type="headerRow"/>
      <tableStyleElement dxfId="2" type="firstRowStripe"/>
      <tableStyleElement dxfId="4" type="secondRowStripe"/>
    </tableStyle>
    <tableStyle count="3" pivot="0" name="Calculations-style 17">
      <tableStyleElement dxfId="1" type="headerRow"/>
      <tableStyleElement dxfId="2" type="firstRowStripe"/>
      <tableStyleElement dxfId="4" type="secondRowStripe"/>
    </tableStyle>
    <tableStyle count="2" pivot="0" name="Calculations-style 18">
      <tableStyleElement dxfId="2" type="firstRowStripe"/>
      <tableStyleElement dxfId="3" type="secondRowStripe"/>
    </tableStyle>
    <tableStyle count="3" pivot="0" name="Calculations-style 19">
      <tableStyleElement dxfId="1" type="headerRow"/>
      <tableStyleElement dxfId="2" type="firstRowStripe"/>
      <tableStyleElement dxfId="4" type="secondRowStripe"/>
    </tableStyle>
    <tableStyle count="3" pivot="0" name="Calculations-style 20">
      <tableStyleElement dxfId="1" type="headerRow"/>
      <tableStyleElement dxfId="2" type="firstRowStripe"/>
      <tableStyleElement dxfId="4" type="secondRowStripe"/>
    </tableStyle>
    <tableStyle count="3" pivot="0" name="Visuals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Revenue Pareto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Revenue generated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Calculations!$F$59:$F$79</c:f>
            </c:strRef>
          </c:cat>
          <c:val>
            <c:numRef>
              <c:f>Calculations!$G$59:$G$79</c:f>
              <c:numCache/>
            </c:numRef>
          </c:val>
        </c:ser>
        <c:axId val="1495020425"/>
        <c:axId val="833885000"/>
      </c:barChart>
      <c:catAx>
        <c:axId val="1495020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Name of the 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833885000"/>
      </c:catAx>
      <c:valAx>
        <c:axId val="833885000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Revenue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495020425"/>
      </c:valAx>
      <c:lineChart>
        <c:varyColors val="0"/>
        <c:ser>
          <c:idx val="1"/>
          <c:order val="1"/>
          <c:tx>
            <c:v>%Share of Sales</c:v>
          </c:tx>
          <c:spPr>
            <a:ln cmpd="sng">
              <a:solidFill>
                <a:srgbClr val="39EA77"/>
              </a:solidFill>
            </a:ln>
          </c:spPr>
          <c:marker>
            <c:symbol val="none"/>
          </c:marker>
          <c:cat>
            <c:strRef>
              <c:f>Calculations!$F$59:$F$79</c:f>
            </c:strRef>
          </c:cat>
          <c:val>
            <c:numRef>
              <c:f>Calculations!$H$59:$H$79</c:f>
              <c:numCache/>
            </c:numRef>
          </c:val>
          <c:smooth val="1"/>
        </c:ser>
        <c:axId val="470415677"/>
        <c:axId val="1674974571"/>
      </c:lineChart>
      <c:catAx>
        <c:axId val="4704156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674974571"/>
      </c:catAx>
      <c:valAx>
        <c:axId val="167497457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4704156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73F6B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Max Sale and Min Sale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Max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Calculations!$A$4:$A$24</c:f>
            </c:strRef>
          </c:cat>
          <c:val>
            <c:numRef>
              <c:f>Calculations!$C$4:$C$24</c:f>
              <c:numCache/>
            </c:numRef>
          </c:val>
        </c:ser>
        <c:ser>
          <c:idx val="1"/>
          <c:order val="1"/>
          <c:tx>
            <c:v>Min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Calculations!$A$4:$A$24</c:f>
            </c:strRef>
          </c:cat>
          <c:val>
            <c:numRef>
              <c:f>Calculations!$D$4:$D$24</c:f>
              <c:numCache/>
            </c:numRef>
          </c:val>
        </c:ser>
        <c:axId val="860886751"/>
        <c:axId val="889254776"/>
      </c:barChart>
      <c:catAx>
        <c:axId val="86088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Name of the 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889254776"/>
      </c:catAx>
      <c:valAx>
        <c:axId val="889254776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Units Sold per Week.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86088675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Sales Pareto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Calculations!$B$57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Calculations!$A$58:$A$78</c:f>
            </c:strRef>
          </c:cat>
          <c:val>
            <c:numRef>
              <c:f>Calculations!$B$58:$B$78</c:f>
              <c:numCache/>
            </c:numRef>
          </c:val>
        </c:ser>
        <c:axId val="126876742"/>
        <c:axId val="646593992"/>
      </c:barChart>
      <c:catAx>
        <c:axId val="126876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Name of the 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646593992"/>
      </c:catAx>
      <c:valAx>
        <c:axId val="646593992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26876742"/>
      </c:valAx>
      <c:lineChart>
        <c:varyColors val="0"/>
        <c:ser>
          <c:idx val="1"/>
          <c:order val="1"/>
          <c:tx>
            <c:strRef>
              <c:f>Calculations!$C$57</c:f>
            </c:strRef>
          </c:tx>
          <c:spPr>
            <a:ln cmpd="sng">
              <a:solidFill>
                <a:srgbClr val="39EA77"/>
              </a:solidFill>
            </a:ln>
          </c:spPr>
          <c:marker>
            <c:symbol val="none"/>
          </c:marker>
          <c:cat>
            <c:strRef>
              <c:f>Calculations!$A$58:$A$78</c:f>
            </c:strRef>
          </c:cat>
          <c:val>
            <c:numRef>
              <c:f>Calculations!$C$58:$C$78</c:f>
              <c:numCache/>
            </c:numRef>
          </c:val>
          <c:smooth val="1"/>
        </c:ser>
        <c:axId val="1003531605"/>
        <c:axId val="1780555415"/>
      </c:lineChart>
      <c:catAx>
        <c:axId val="10035316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780555415"/>
      </c:catAx>
      <c:valAx>
        <c:axId val="178055541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0035316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Weekly Sale Amount</a:t>
            </a:r>
          </a:p>
        </c:rich>
      </c:tx>
      <c:layout>
        <c:manualLayout>
          <c:xMode val="edge"/>
          <c:yMode val="edge"/>
          <c:x val="0.01925"/>
          <c:y val="0.04191374663072776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'Weekly Revenue Data'!$B$1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'Weekly Revenue Data'!$A$2:$A$13</c:f>
            </c:strRef>
          </c:cat>
          <c:val>
            <c:numRef>
              <c:f>'Weekly Revenue Data'!$B$2:$B$13</c:f>
              <c:numCache/>
            </c:numRef>
          </c:val>
        </c:ser>
        <c:axId val="1531711266"/>
        <c:axId val="48691093"/>
      </c:barChart>
      <c:catAx>
        <c:axId val="1531711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48691093"/>
      </c:catAx>
      <c:valAx>
        <c:axId val="48691093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Total Sale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531711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Total Sale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Calculations!$K$19</c:f>
            </c:strRef>
          </c:tx>
          <c:dPt>
            <c:idx val="0"/>
            <c:spPr>
              <a:solidFill>
                <a:srgbClr val="006391"/>
              </a:solidFill>
            </c:spPr>
          </c:dPt>
          <c:dPt>
            <c:idx val="1"/>
            <c:spPr>
              <a:solidFill>
                <a:srgbClr val="39EA77"/>
              </a:solidFill>
            </c:spPr>
          </c:dPt>
          <c:dPt>
            <c:idx val="2"/>
            <c:spPr>
              <a:solidFill>
                <a:srgbClr val="FEB929"/>
              </a:solidFill>
            </c:spPr>
          </c:dPt>
          <c:dPt>
            <c:idx val="3"/>
            <c:spPr>
              <a:solidFill>
                <a:srgbClr val="28998B"/>
              </a:solidFill>
            </c:spPr>
          </c:dPt>
          <c:dPt>
            <c:idx val="4"/>
            <c:spPr>
              <a:solidFill>
                <a:srgbClr val="D5A6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Calculations!$J$20:$J$24</c:f>
            </c:strRef>
          </c:cat>
          <c:val>
            <c:numRef>
              <c:f>Calculations!$K$20:$K$24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Sales vs. Week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Calculations!$W$6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Sales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Calculations!$V$7:$V$18</c:f>
            </c:numRef>
          </c:xVal>
          <c:yVal>
            <c:numRef>
              <c:f>Calculations!$W$7:$W$18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60100"/>
        <c:axId val="1444722755"/>
      </c:scatterChart>
      <c:valAx>
        <c:axId val="1156260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444722755"/>
      </c:valAx>
      <c:valAx>
        <c:axId val="1444722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156260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Sales vs. Week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Calculations!$T$6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Sales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Calculations!$S$7:$S$18</c:f>
            </c:numRef>
          </c:xVal>
          <c:yVal>
            <c:numRef>
              <c:f>Calculations!$T$7:$T$18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690143"/>
        <c:axId val="1998508438"/>
      </c:scatterChart>
      <c:valAx>
        <c:axId val="13776901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998508438"/>
      </c:valAx>
      <c:valAx>
        <c:axId val="1998508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377690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Sales vs. Week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Calculations!$M$47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Sales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Calculations!$L$48:$L$59</c:f>
            </c:numRef>
          </c:xVal>
          <c:yVal>
            <c:numRef>
              <c:f>Calculations!$M$48:$M$59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947350"/>
        <c:axId val="1093010998"/>
      </c:scatterChart>
      <c:valAx>
        <c:axId val="8589473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093010998"/>
      </c:valAx>
      <c:valAx>
        <c:axId val="1093010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858947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09EA5"/>
                </a:solidFill>
                <a:latin typeface="+mn-lt"/>
              </a:defRPr>
            </a:pPr>
            <a:r>
              <a:rPr b="0">
                <a:solidFill>
                  <a:srgbClr val="909EA5"/>
                </a:solidFill>
                <a:latin typeface="+mn-lt"/>
              </a:rPr>
              <a:t>Revenue and Sales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Calculations!$I$42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Calculations!$H$43:$H$54</c:f>
            </c:numRef>
          </c:xVal>
          <c:yVal>
            <c:numRef>
              <c:f>Calculations!$I$43:$I$54</c:f>
              <c:numCache/>
            </c:numRef>
          </c:yVal>
        </c:ser>
        <c:ser>
          <c:idx val="1"/>
          <c:order val="1"/>
          <c:tx>
            <c:strRef>
              <c:f>Calculations!$J$42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Calculations!$H$43:$H$54</c:f>
            </c:numRef>
          </c:xVal>
          <c:yVal>
            <c:numRef>
              <c:f>Calculations!$J$43:$J$54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448466"/>
        <c:axId val="1924165334"/>
      </c:scatterChart>
      <c:valAx>
        <c:axId val="3834484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1924165334"/>
      </c:valAx>
      <c:valAx>
        <c:axId val="1924165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>Revenue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14C59"/>
                </a:solidFill>
                <a:latin typeface="+mn-lt"/>
              </a:defRPr>
            </a:pPr>
          </a:p>
        </c:txPr>
        <c:crossAx val="383448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9.xml"/><Relationship Id="rId9" Type="http://schemas.openxmlformats.org/officeDocument/2006/relationships/image" Target="../media/Chart9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17</xdr:row>
      <xdr:rowOff>114300</xdr:rowOff>
    </xdr:from>
    <xdr:ext cx="57531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38</xdr:row>
      <xdr:rowOff>142875</xdr:rowOff>
    </xdr:from>
    <xdr:ext cx="68675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95250</xdr:colOff>
      <xdr:row>0</xdr:row>
      <xdr:rowOff>0</xdr:rowOff>
    </xdr:from>
    <xdr:ext cx="5753100" cy="3181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0</xdr:colOff>
      <xdr:row>39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9525</xdr:colOff>
      <xdr:row>0</xdr:row>
      <xdr:rowOff>0</xdr:rowOff>
    </xdr:from>
    <xdr:ext cx="5086350" cy="31432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352425</xdr:colOff>
      <xdr:row>19</xdr:row>
      <xdr:rowOff>76200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561975</xdr:colOff>
      <xdr:row>40</xdr:row>
      <xdr:rowOff>19050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18</xdr:col>
      <xdr:colOff>914400</xdr:colOff>
      <xdr:row>5</xdr:row>
      <xdr:rowOff>57150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</xdr:col>
      <xdr:colOff>666750</xdr:colOff>
      <xdr:row>19</xdr:row>
      <xdr:rowOff>76200</xdr:rowOff>
    </xdr:from>
    <xdr:ext cx="4505325" cy="2781300"/>
    <xdr:pic>
      <xdr:nvPicPr>
        <xdr:cNvPr id="1638498534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0</xdr:row>
      <xdr:rowOff>76200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O23" displayName="Table1" name="Table1" id="1">
  <tableColumns count="15">
    <tableColumn name="PRODUCT NAME" id="1"/>
    <tableColumn name="Unit Rate (â‚¹)" id="2"/>
    <tableColumn name="Wk1 (Feb3)" id="3"/>
    <tableColumn name="Wk2 (Feb10)" id="4"/>
    <tableColumn name="Wk3 (Feb17)" id="5"/>
    <tableColumn name="Wk4 (Feb24)" id="6"/>
    <tableColumn name="Wk5 (Mar3)" id="7"/>
    <tableColumn name="Wk6 (Mar10)" id="8"/>
    <tableColumn name="Wk7 (Mar17)" id="9"/>
    <tableColumn name="Wk8 (Mar24)" id="10"/>
    <tableColumn name="Wk9 (Mar31)" id="11"/>
    <tableColumn name="Wk10 (Apr7)" id="12"/>
    <tableColumn name="Wk11 (Apr14)" id="13"/>
    <tableColumn name="Wk12 (Apr20)" id="14"/>
    <tableColumn name="Total" id="15"/>
  </tableColumns>
  <tableStyleInfo name="Sales-style" showColumnStripes="0" showFirstColumn="1" showLastColumn="1" showRowStripes="1"/>
</table>
</file>

<file path=xl/tables/table2.xml><?xml version="1.0" encoding="utf-8"?>
<table xmlns="http://schemas.openxmlformats.org/spreadsheetml/2006/main" headerRowCount="0" ref="C28:N28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al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0:M30" displayName="Table_2" name="Table_2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ales-style 3" showColumnStripes="0" showFirstColumn="1" showLastColumn="1" showRowStripes="1"/>
</table>
</file>

<file path=xl/tables/table4.xml><?xml version="1.0" encoding="utf-8"?>
<table xmlns="http://schemas.openxmlformats.org/spreadsheetml/2006/main" ref="A1:E23" displayName="Revenue" name="Revenue" id="4">
  <tableColumns count="5">
    <tableColumn name="PRODUCT NAME" id="1"/>
    <tableColumn name="Opening Balance(in Rs.)" id="2"/>
    <tableColumn name="Sale" id="3"/>
    <tableColumn name="Sale Return" id="4"/>
    <tableColumn name="Purchase" id="5"/>
  </tableColumns>
  <tableStyleInfo name="Revenue-style" showColumnStripes="0" showFirstColumn="1" showLastColumn="1" showRowStripes="1"/>
</table>
</file>

<file path=xl/tables/table5.xml><?xml version="1.0" encoding="utf-8"?>
<table xmlns="http://schemas.openxmlformats.org/spreadsheetml/2006/main" ref="A1:D13" displayName="Table3" name="Table3" id="5">
  <tableColumns count="4">
    <tableColumn name="Week" id="1"/>
    <tableColumn name="Total Sale Amount" id="2"/>
    <tableColumn name="Account" id="3"/>
    <tableColumn name="Cash Balance" id="4"/>
  </tableColumns>
  <tableStyleInfo name="Weekly Revenue Data-style" showColumnStripes="0" showFirstColumn="1" showLastColumn="1" showRowStripes="1"/>
</table>
</file>

<file path=xl/tables/table6.xml><?xml version="1.0" encoding="utf-8"?>
<table xmlns="http://schemas.openxmlformats.org/spreadsheetml/2006/main" ref="A3:H28" displayName="Descriptive_Statistics" name="Descriptive_Statistics" id="6">
  <tableColumns count="8">
    <tableColumn name="Name of the Item" id="1"/>
    <tableColumn name="Total Sale" id="2"/>
    <tableColumn name="Max Sale" id="3"/>
    <tableColumn name="Min Sale" id="4"/>
    <tableColumn name="Revenue Generated (Rate * Total sale)" id="5"/>
    <tableColumn name="Average Weekly Sales" id="6"/>
    <tableColumn name="Average Price" id="7"/>
    <tableColumn name="Average Weekly Revenue" id="8"/>
  </tableColumns>
  <tableStyleInfo name="Calculations-style" showColumnStripes="0" showFirstColumn="1" showLastColumn="1" showRowStripes="1"/>
</table>
</file>

<file path=xl/tables/table7.xml><?xml version="1.0" encoding="utf-8"?>
<table xmlns="http://schemas.openxmlformats.org/spreadsheetml/2006/main" ref="J4:K16" displayName="Weekly_Sales" name="Weekly_Sales" id="7">
  <tableColumns count="2">
    <tableColumn name="Week" id="1"/>
    <tableColumn name="Total Weekly Sales" id="2"/>
  </tableColumns>
  <tableStyleInfo name="Calculations-style 2" showColumnStripes="0" showFirstColumn="1" showLastColumn="1" showRowStripes="1"/>
</table>
</file>

<file path=xl/tables/table8.xml><?xml version="1.0" encoding="utf-8"?>
<table xmlns="http://schemas.openxmlformats.org/spreadsheetml/2006/main" ref="M4:N8" displayName="Poducts_with_High_Revenue" name="Poducts_with_High_Revenue" id="8">
  <tableColumns count="2">
    <tableColumn name="Name of the Item" id="1"/>
    <tableColumn name="Revenue Generated" id="2"/>
  </tableColumns>
  <tableStyleInfo name="Calculations-style 3" showColumnStripes="0" showFirstColumn="1" showLastColumn="1" showRowStripes="1"/>
</table>
</file>

<file path=xl/tables/table9.xml><?xml version="1.0" encoding="utf-8"?>
<table xmlns="http://schemas.openxmlformats.org/spreadsheetml/2006/main" headerRowCount="0" ref="O4:Q4" displayName="Table_3" name="Table_3" id="9">
  <tableColumns count="3">
    <tableColumn name="Column1" id="1"/>
    <tableColumn name="Column2" id="2"/>
    <tableColumn name="Column3" id="3"/>
  </tableColumns>
  <tableStyleInfo name="Calculations-style 4" showColumnStripes="0" showFirstColumn="1" showLastColumn="1" showRowStripes="1"/>
</table>
</file>

<file path=xl/tables/table10.xml><?xml version="1.0" encoding="utf-8"?>
<table xmlns="http://schemas.openxmlformats.org/spreadsheetml/2006/main" ref="S6:T18" displayName="Aata_Noodles_Sales_Trend" name="Aata_Noodles_Sales_Trend" id="10">
  <tableColumns count="2">
    <tableColumn name="Week" id="1"/>
    <tableColumn name="Sales" id="2"/>
  </tableColumns>
  <tableStyleInfo name="Calculations-style 5" showColumnStripes="0" showFirstColumn="1" showLastColumn="1" showRowStripes="1"/>
</table>
</file>

<file path=xl/tables/table11.xml><?xml version="1.0" encoding="utf-8"?>
<table xmlns="http://schemas.openxmlformats.org/spreadsheetml/2006/main" ref="V6:W18" displayName="Men_Shirt_trend_analysis" name="Men_Shirt_trend_analysis" id="11">
  <tableColumns count="2">
    <tableColumn name="Week" id="1"/>
    <tableColumn name="Sales" id="2"/>
  </tableColumns>
  <tableStyleInfo name="Calculations-style 6" showColumnStripes="0" showFirstColumn="1" showLastColumn="1" showRowStripes="1"/>
</table>
</file>

<file path=xl/tables/table12.xml><?xml version="1.0" encoding="utf-8"?>
<table xmlns="http://schemas.openxmlformats.org/spreadsheetml/2006/main" ref="P9:Q21" displayName="Amla_Candy_Return_" name="Amla_Candy_Return_" id="12">
  <tableColumns count="2">
    <tableColumn name="Week" id="1"/>
    <tableColumn name="Sales" id="2"/>
  </tableColumns>
  <tableStyleInfo name="Calculations-style 7" showColumnStripes="0" showFirstColumn="1" showLastColumn="1" showRowStripes="1"/>
</table>
</file>

<file path=xl/tables/table13.xml><?xml version="1.0" encoding="utf-8"?>
<table xmlns="http://schemas.openxmlformats.org/spreadsheetml/2006/main" ref="M11:N15" displayName="Products_with_least_sale" name="Products_with_least_sale" id="13">
  <tableColumns count="2">
    <tableColumn name="Name of the Item" id="1"/>
    <tableColumn name="Total Sale" id="2"/>
  </tableColumns>
  <tableStyleInfo name="Calculations-style 8" showColumnStripes="0" showFirstColumn="1" showLastColumn="1" showRowStripes="1"/>
</table>
</file>

<file path=xl/tables/table14.xml><?xml version="1.0" encoding="utf-8"?>
<table xmlns="http://schemas.openxmlformats.org/spreadsheetml/2006/main" ref="M18:N22" displayName="Products_with_least_Revenue" name="Products_with_least_Revenue" id="14">
  <tableColumns count="2">
    <tableColumn name="Name of the Item" id="1"/>
    <tableColumn name="Revenue Generated" id="2"/>
  </tableColumns>
  <tableStyleInfo name="Calculations-style 9" showColumnStripes="0" showFirstColumn="1" showLastColumn="1" showRowStripes="1"/>
</table>
</file>

<file path=xl/tables/table15.xml><?xml version="1.0" encoding="utf-8"?>
<table xmlns="http://schemas.openxmlformats.org/spreadsheetml/2006/main" ref="J19:K24" displayName="Products_with_High_Sale" name="Products_with_High_Sale" id="15">
  <tableColumns count="2">
    <tableColumn name="Name of the Item" id="1"/>
    <tableColumn name="Total Sale" id="2"/>
  </tableColumns>
  <tableStyleInfo name="Calculations-style 10" showColumnStripes="0" showFirstColumn="1" showLastColumn="1" showRowStripes="1"/>
</table>
</file>

<file path=xl/tables/table16.xml><?xml version="1.0" encoding="utf-8"?>
<table xmlns="http://schemas.openxmlformats.org/spreadsheetml/2006/main" ref="J28:K39" displayName="Weekly_performance" name="Weekly_performance" id="16">
  <tableColumns count="2">
    <tableColumn name="Metric" id="1"/>
    <tableColumn name="Value" id="2"/>
  </tableColumns>
  <tableStyleInfo name="Calculations-style 11" showColumnStripes="0" showFirstColumn="1" showLastColumn="1" showRowStripes="1"/>
</table>
</file>

<file path=xl/tables/table17.xml><?xml version="1.0" encoding="utf-8"?>
<table xmlns="http://schemas.openxmlformats.org/spreadsheetml/2006/main" ref="M28:N38" displayName="Revenue_Performance" name="Revenue_Performance" id="17">
  <tableColumns count="2">
    <tableColumn name="Metric" id="1"/>
    <tableColumn name="Value" id="2"/>
  </tableColumns>
  <tableStyleInfo name="Calculations-style 12" showColumnStripes="0" showFirstColumn="1" showLastColumn="1" showRowStripes="1"/>
</table>
</file>

<file path=xl/tables/table18.xml><?xml version="1.0" encoding="utf-8"?>
<table xmlns="http://schemas.openxmlformats.org/spreadsheetml/2006/main" ref="A32:F53" displayName="Table2" name="Table2" id="18">
  <tableColumns count="6">
    <tableColumn name="Name of the Item" id="1"/>
    <tableColumn name="Total Sale" id="2"/>
    <tableColumn name="Revenue Generated " id="3"/>
    <tableColumn name="Cummulative Value" id="4"/>
    <tableColumn name="Cumulative %" id="5"/>
    <tableColumn name="ABC Category" id="6"/>
  </tableColumns>
  <tableStyleInfo name="Calculations-style 13" showColumnStripes="0" showFirstColumn="1" showLastColumn="1" showRowStripes="1"/>
</table>
</file>

<file path=xl/tables/table19.xml><?xml version="1.0" encoding="utf-8"?>
<table xmlns="http://schemas.openxmlformats.org/spreadsheetml/2006/main" ref="H42:J54" displayName="Revenue_VS_Sales_Weekly_" name="Revenue_VS_Sales_Weekly_" id="19">
  <tableColumns count="3">
    <tableColumn name="Week" id="1"/>
    <tableColumn name="Revenue" id="2"/>
    <tableColumn name="Sales" id="3"/>
  </tableColumns>
  <tableStyleInfo name="Calculations-style 14" showColumnStripes="0" showFirstColumn="1" showLastColumn="1" showRowStripes="1"/>
</table>
</file>

<file path=xl/tables/table20.xml><?xml version="1.0" encoding="utf-8"?>
<table xmlns="http://schemas.openxmlformats.org/spreadsheetml/2006/main" headerRowCount="0" ref="N45:Y45" displayName="Table_4" name="Table_4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alculations-style 15" showColumnStripes="0" showFirstColumn="1" showLastColumn="1" showRowStripes="1"/>
</table>
</file>

<file path=xl/tables/table21.xml><?xml version="1.0" encoding="utf-8"?>
<table xmlns="http://schemas.openxmlformats.org/spreadsheetml/2006/main" ref="L47:M59" displayName="Test_Pricing_for_Ladies_Suit" name="Test_Pricing_for_Ladies_Suit" id="21">
  <tableColumns count="2">
    <tableColumn name="Week" id="1"/>
    <tableColumn name="Sales" id="2"/>
  </tableColumns>
  <tableStyleInfo name="Calculations-style 16" showColumnStripes="0" showFirstColumn="1" showLastColumn="1" showRowStripes="1"/>
</table>
</file>

<file path=xl/tables/table22.xml><?xml version="1.0" encoding="utf-8"?>
<table xmlns="http://schemas.openxmlformats.org/spreadsheetml/2006/main" ref="O47:P59" displayName="Bizz_Detergent_Powder_Return_Analysis" name="Bizz_Detergent_Powder_Return_Analysis" id="22">
  <tableColumns count="2">
    <tableColumn name="Week" id="1"/>
    <tableColumn name="Sales" id="2"/>
  </tableColumns>
  <tableStyleInfo name="Calculations-style 17" showColumnStripes="0" showFirstColumn="1" showLastColumn="1" showRowStripes="1"/>
</table>
</file>

<file path=xl/tables/table23.xml><?xml version="1.0" encoding="utf-8"?>
<table xmlns="http://schemas.openxmlformats.org/spreadsheetml/2006/main" headerRowCount="0" ref="U48" displayName="Table_5" name="Table_5" id="23">
  <tableColumns count="1">
    <tableColumn name="Column1" id="1"/>
  </tableColumns>
  <tableStyleInfo name="Calculations-style 18" showColumnStripes="0" showFirstColumn="1" showLastColumn="1" showRowStripes="1"/>
</table>
</file>

<file path=xl/tables/table24.xml><?xml version="1.0" encoding="utf-8"?>
<table xmlns="http://schemas.openxmlformats.org/spreadsheetml/2006/main" ref="A57:D78" displayName="Sales_Pareto" name="Sales_Pareto" id="24">
  <tableColumns count="4">
    <tableColumn name="Name of the Item" id="1"/>
    <tableColumn name="Total Sale" id="2"/>
    <tableColumn name="कॉलम 3" id="3"/>
    <tableColumn name="%Share of Sales" id="4"/>
  </tableColumns>
  <tableStyleInfo name="Calculations-style 19" showColumnStripes="0" showFirstColumn="1" showLastColumn="1" showRowStripes="1"/>
</table>
</file>

<file path=xl/tables/table25.xml><?xml version="1.0" encoding="utf-8"?>
<table xmlns="http://schemas.openxmlformats.org/spreadsheetml/2006/main" ref="F58:H79" displayName="Revenue_Pareto" name="Revenue_Pareto" id="25">
  <tableColumns count="3">
    <tableColumn name="Name of the Item" id="1"/>
    <tableColumn name="Total Sale" id="2"/>
    <tableColumn name=" % Share of Revenue" id="3"/>
  </tableColumns>
  <tableStyleInfo name="Calculations-style 20" showColumnStripes="0" showFirstColumn="1" showLastColumn="1" showRowStripes="1"/>
</table>
</file>

<file path=xl/tables/table26.xml><?xml version="1.0" encoding="utf-8"?>
<table xmlns="http://schemas.openxmlformats.org/spreadsheetml/2006/main" headerRowCount="0" ref="A1" displayName="Table_6" name="Table_6" id="26">
  <tableColumns count="1">
    <tableColumn name="Column1" id="1"/>
  </tableColumns>
  <tableStyleInfo name="Visu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39EA77"/>
      </a:accent2>
      <a:accent3>
        <a:srgbClr val="FEB929"/>
      </a:accent3>
      <a:accent4>
        <a:srgbClr val="28998B"/>
      </a:accent4>
      <a:accent5>
        <a:srgbClr val="D5A6BD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41" Type="http://schemas.openxmlformats.org/officeDocument/2006/relationships/table" Target="../tables/table25.xml"/><Relationship Id="rId22" Type="http://schemas.openxmlformats.org/officeDocument/2006/relationships/table" Target="../tables/table6.xml"/><Relationship Id="rId33" Type="http://schemas.openxmlformats.org/officeDocument/2006/relationships/table" Target="../tables/table17.xml"/><Relationship Id="rId32" Type="http://schemas.openxmlformats.org/officeDocument/2006/relationships/table" Target="../tables/table16.xml"/><Relationship Id="rId24" Type="http://schemas.openxmlformats.org/officeDocument/2006/relationships/table" Target="../tables/table8.xml"/><Relationship Id="rId35" Type="http://schemas.openxmlformats.org/officeDocument/2006/relationships/table" Target="../tables/table19.xml"/><Relationship Id="rId23" Type="http://schemas.openxmlformats.org/officeDocument/2006/relationships/table" Target="../tables/table7.xml"/><Relationship Id="rId34" Type="http://schemas.openxmlformats.org/officeDocument/2006/relationships/table" Target="../tables/table18.xml"/><Relationship Id="rId1" Type="http://schemas.openxmlformats.org/officeDocument/2006/relationships/drawing" Target="../drawings/drawing4.xml"/><Relationship Id="rId26" Type="http://schemas.openxmlformats.org/officeDocument/2006/relationships/table" Target="../tables/table10.xml"/><Relationship Id="rId37" Type="http://schemas.openxmlformats.org/officeDocument/2006/relationships/table" Target="../tables/table21.xml"/><Relationship Id="rId25" Type="http://schemas.openxmlformats.org/officeDocument/2006/relationships/table" Target="../tables/table9.xml"/><Relationship Id="rId36" Type="http://schemas.openxmlformats.org/officeDocument/2006/relationships/table" Target="../tables/table20.xml"/><Relationship Id="rId28" Type="http://schemas.openxmlformats.org/officeDocument/2006/relationships/table" Target="../tables/table12.xml"/><Relationship Id="rId39" Type="http://schemas.openxmlformats.org/officeDocument/2006/relationships/table" Target="../tables/table23.xml"/><Relationship Id="rId27" Type="http://schemas.openxmlformats.org/officeDocument/2006/relationships/table" Target="../tables/table11.xml"/><Relationship Id="rId38" Type="http://schemas.openxmlformats.org/officeDocument/2006/relationships/table" Target="../tables/table22.xml"/><Relationship Id="rId29" Type="http://schemas.openxmlformats.org/officeDocument/2006/relationships/table" Target="../tables/table1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7.88"/>
    <col customWidth="1" min="3" max="4" width="19.88"/>
    <col customWidth="1" min="5" max="7" width="20.88"/>
    <col customWidth="1" min="8" max="8" width="19.88"/>
    <col customWidth="1" min="9" max="12" width="20.75"/>
    <col customWidth="1" min="13" max="13" width="21.63"/>
    <col customWidth="1" min="14" max="14" width="25.38"/>
    <col customWidth="1" min="16" max="16" width="2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15</v>
      </c>
      <c r="B2" s="6">
        <v>1800.0</v>
      </c>
      <c r="C2" s="7">
        <v>5.0</v>
      </c>
      <c r="D2" s="8">
        <v>4.0</v>
      </c>
      <c r="E2" s="8">
        <v>4.0</v>
      </c>
      <c r="F2" s="8">
        <v>5.0</v>
      </c>
      <c r="G2" s="8">
        <v>6.0</v>
      </c>
      <c r="H2" s="8">
        <v>5.0</v>
      </c>
      <c r="I2" s="8">
        <v>7.0</v>
      </c>
      <c r="J2" s="8">
        <v>8.0</v>
      </c>
      <c r="K2" s="8">
        <v>7.0</v>
      </c>
      <c r="L2" s="8">
        <v>9.0</v>
      </c>
      <c r="M2" s="8">
        <v>8.0</v>
      </c>
      <c r="N2" s="7">
        <v>9.0</v>
      </c>
      <c r="O2" s="9">
        <f t="shared" ref="O2:O23" si="1">SUM(C2:N2)</f>
        <v>77</v>
      </c>
    </row>
    <row r="3">
      <c r="A3" s="5" t="s">
        <v>16</v>
      </c>
      <c r="B3" s="10">
        <v>799.0</v>
      </c>
      <c r="C3" s="11">
        <v>0.0</v>
      </c>
      <c r="D3" s="10">
        <v>1.0</v>
      </c>
      <c r="E3" s="11">
        <v>1.0</v>
      </c>
      <c r="F3" s="11">
        <v>2.0</v>
      </c>
      <c r="G3" s="11">
        <v>1.0</v>
      </c>
      <c r="H3" s="10">
        <v>0.0</v>
      </c>
      <c r="I3" s="11">
        <v>1.0</v>
      </c>
      <c r="J3" s="11">
        <v>0.0</v>
      </c>
      <c r="K3" s="10">
        <v>2.0</v>
      </c>
      <c r="L3" s="10">
        <v>1.0</v>
      </c>
      <c r="M3" s="11">
        <v>0.0</v>
      </c>
      <c r="N3" s="10">
        <v>1.0</v>
      </c>
      <c r="O3" s="9">
        <f t="shared" si="1"/>
        <v>10</v>
      </c>
    </row>
    <row r="4">
      <c r="A4" s="5" t="s">
        <v>17</v>
      </c>
      <c r="B4" s="11">
        <v>499.0</v>
      </c>
      <c r="C4" s="10">
        <v>8.0</v>
      </c>
      <c r="D4" s="10">
        <v>7.0</v>
      </c>
      <c r="E4" s="11">
        <v>5.0</v>
      </c>
      <c r="F4" s="10">
        <v>7.0</v>
      </c>
      <c r="G4" s="11">
        <v>9.0</v>
      </c>
      <c r="H4" s="11">
        <v>8.0</v>
      </c>
      <c r="I4" s="11">
        <v>10.0</v>
      </c>
      <c r="J4" s="10">
        <v>6.0</v>
      </c>
      <c r="K4" s="11">
        <v>9.0</v>
      </c>
      <c r="L4" s="11">
        <v>7.0</v>
      </c>
      <c r="M4" s="10">
        <v>8.0</v>
      </c>
      <c r="N4" s="10">
        <v>9.0</v>
      </c>
      <c r="O4" s="9">
        <f t="shared" si="1"/>
        <v>93</v>
      </c>
    </row>
    <row r="5">
      <c r="A5" s="5" t="s">
        <v>18</v>
      </c>
      <c r="B5" s="11">
        <v>60.0</v>
      </c>
      <c r="C5" s="10">
        <v>6.0</v>
      </c>
      <c r="D5" s="10">
        <v>3.0</v>
      </c>
      <c r="E5" s="10">
        <v>4.0</v>
      </c>
      <c r="F5" s="10">
        <v>5.0</v>
      </c>
      <c r="G5" s="10">
        <v>6.0</v>
      </c>
      <c r="H5" s="10">
        <v>4.0</v>
      </c>
      <c r="I5" s="10">
        <v>5.0</v>
      </c>
      <c r="J5" s="10">
        <v>3.0</v>
      </c>
      <c r="K5" s="10">
        <v>4.0</v>
      </c>
      <c r="L5" s="10">
        <v>5.0</v>
      </c>
      <c r="M5" s="10">
        <v>3.0</v>
      </c>
      <c r="N5" s="10">
        <v>4.0</v>
      </c>
      <c r="O5" s="9">
        <f t="shared" si="1"/>
        <v>52</v>
      </c>
    </row>
    <row r="6">
      <c r="A6" s="5" t="s">
        <v>19</v>
      </c>
      <c r="B6" s="11">
        <v>460.0</v>
      </c>
      <c r="C6" s="11">
        <v>5.0</v>
      </c>
      <c r="D6" s="10">
        <v>1.0</v>
      </c>
      <c r="E6" s="10">
        <v>3.0</v>
      </c>
      <c r="F6" s="10">
        <v>4.0</v>
      </c>
      <c r="G6" s="10">
        <v>5.0</v>
      </c>
      <c r="H6" s="10">
        <v>2.0</v>
      </c>
      <c r="I6" s="10">
        <v>6.0</v>
      </c>
      <c r="J6" s="10">
        <v>4.0</v>
      </c>
      <c r="K6" s="10">
        <v>3.0</v>
      </c>
      <c r="L6" s="10">
        <v>4.0</v>
      </c>
      <c r="M6" s="10">
        <v>2.0</v>
      </c>
      <c r="N6" s="10">
        <v>5.0</v>
      </c>
      <c r="O6" s="9">
        <f t="shared" si="1"/>
        <v>44</v>
      </c>
    </row>
    <row r="7">
      <c r="A7" s="5" t="s">
        <v>20</v>
      </c>
      <c r="B7" s="11">
        <v>160.0</v>
      </c>
      <c r="C7" s="10">
        <v>11.0</v>
      </c>
      <c r="D7" s="11">
        <v>3.0</v>
      </c>
      <c r="E7" s="11">
        <v>5.0</v>
      </c>
      <c r="F7" s="11">
        <v>7.0</v>
      </c>
      <c r="G7" s="11">
        <v>9.0</v>
      </c>
      <c r="H7" s="11">
        <v>6.0</v>
      </c>
      <c r="I7" s="11">
        <v>8.0</v>
      </c>
      <c r="J7" s="11">
        <v>5.0</v>
      </c>
      <c r="K7" s="11">
        <v>7.0</v>
      </c>
      <c r="L7" s="10">
        <v>6.0</v>
      </c>
      <c r="M7" s="11">
        <v>5.0</v>
      </c>
      <c r="N7" s="10">
        <v>7.0</v>
      </c>
      <c r="O7" s="9">
        <f t="shared" si="1"/>
        <v>79</v>
      </c>
    </row>
    <row r="8">
      <c r="A8" s="5" t="s">
        <v>21</v>
      </c>
      <c r="B8" s="11">
        <v>260.0</v>
      </c>
      <c r="C8" s="10">
        <v>2.0</v>
      </c>
      <c r="D8" s="10">
        <v>2.0</v>
      </c>
      <c r="E8" s="10">
        <v>3.0</v>
      </c>
      <c r="F8" s="10">
        <v>1.0</v>
      </c>
      <c r="G8" s="10">
        <v>2.0</v>
      </c>
      <c r="H8" s="10">
        <v>1.0</v>
      </c>
      <c r="I8" s="10">
        <v>3.0</v>
      </c>
      <c r="J8" s="10">
        <v>2.0</v>
      </c>
      <c r="K8" s="10">
        <v>1.0</v>
      </c>
      <c r="L8" s="10">
        <v>2.0</v>
      </c>
      <c r="M8" s="10">
        <v>1.0</v>
      </c>
      <c r="N8" s="10">
        <v>2.0</v>
      </c>
      <c r="O8" s="9">
        <f t="shared" si="1"/>
        <v>22</v>
      </c>
    </row>
    <row r="9">
      <c r="A9" s="5" t="s">
        <v>22</v>
      </c>
      <c r="B9" s="11">
        <v>100.0</v>
      </c>
      <c r="C9" s="10">
        <v>8.0</v>
      </c>
      <c r="D9" s="11">
        <v>3.0</v>
      </c>
      <c r="E9" s="11">
        <v>9.0</v>
      </c>
      <c r="F9" s="10">
        <v>6.0</v>
      </c>
      <c r="G9" s="10">
        <v>7.0</v>
      </c>
      <c r="H9" s="11">
        <v>5.0</v>
      </c>
      <c r="I9" s="10">
        <v>8.0</v>
      </c>
      <c r="J9" s="10">
        <v>4.0</v>
      </c>
      <c r="K9" s="10">
        <v>6.0</v>
      </c>
      <c r="L9" s="10">
        <v>5.0</v>
      </c>
      <c r="M9" s="10">
        <v>4.0</v>
      </c>
      <c r="N9" s="10">
        <v>6.0</v>
      </c>
      <c r="O9" s="9">
        <f t="shared" si="1"/>
        <v>71</v>
      </c>
    </row>
    <row r="10">
      <c r="A10" s="5" t="s">
        <v>23</v>
      </c>
      <c r="B10" s="11">
        <v>40.0</v>
      </c>
      <c r="C10" s="8">
        <v>12.0</v>
      </c>
      <c r="D10" s="8">
        <v>13.0</v>
      </c>
      <c r="E10" s="12">
        <v>14.0</v>
      </c>
      <c r="F10" s="12">
        <v>15.0</v>
      </c>
      <c r="G10" s="12">
        <v>18.0</v>
      </c>
      <c r="H10" s="12">
        <v>19.0</v>
      </c>
      <c r="I10" s="12">
        <v>20.0</v>
      </c>
      <c r="J10" s="12">
        <v>17.0</v>
      </c>
      <c r="K10" s="12">
        <v>15.0</v>
      </c>
      <c r="L10" s="8">
        <v>13.0</v>
      </c>
      <c r="M10" s="8">
        <v>12.0</v>
      </c>
      <c r="N10" s="8">
        <v>13.0</v>
      </c>
      <c r="O10" s="9">
        <f t="shared" si="1"/>
        <v>181</v>
      </c>
    </row>
    <row r="11">
      <c r="A11" s="5" t="s">
        <v>24</v>
      </c>
      <c r="B11" s="11">
        <v>40.0</v>
      </c>
      <c r="C11" s="8">
        <v>8.0</v>
      </c>
      <c r="D11" s="8">
        <v>10.0</v>
      </c>
      <c r="E11" s="12">
        <v>9.0</v>
      </c>
      <c r="F11" s="12">
        <v>11.0</v>
      </c>
      <c r="G11" s="12">
        <v>10.0</v>
      </c>
      <c r="H11" s="8">
        <v>12.0</v>
      </c>
      <c r="I11" s="12">
        <v>11.0</v>
      </c>
      <c r="J11" s="12">
        <v>10.0</v>
      </c>
      <c r="K11" s="12">
        <v>9.0</v>
      </c>
      <c r="L11" s="12">
        <v>10.0</v>
      </c>
      <c r="M11" s="8">
        <v>11.0</v>
      </c>
      <c r="N11" s="8">
        <v>10.0</v>
      </c>
      <c r="O11" s="9">
        <f t="shared" si="1"/>
        <v>121</v>
      </c>
    </row>
    <row r="12">
      <c r="A12" s="5" t="s">
        <v>25</v>
      </c>
      <c r="B12" s="11">
        <v>110.0</v>
      </c>
      <c r="C12" s="13">
        <v>11.0</v>
      </c>
      <c r="D12" s="13">
        <v>5.0</v>
      </c>
      <c r="E12" s="14">
        <v>6.0</v>
      </c>
      <c r="F12" s="13">
        <v>7.0</v>
      </c>
      <c r="G12" s="14">
        <v>10.0</v>
      </c>
      <c r="H12" s="13">
        <v>6.0</v>
      </c>
      <c r="I12" s="13">
        <v>12.0</v>
      </c>
      <c r="J12" s="14">
        <v>8.0</v>
      </c>
      <c r="K12" s="13">
        <v>9.0</v>
      </c>
      <c r="L12" s="13">
        <v>7.0</v>
      </c>
      <c r="M12" s="13">
        <v>6.0</v>
      </c>
      <c r="N12" s="13">
        <v>8.0</v>
      </c>
      <c r="O12" s="9">
        <f t="shared" si="1"/>
        <v>95</v>
      </c>
    </row>
    <row r="13">
      <c r="A13" s="5" t="s">
        <v>26</v>
      </c>
      <c r="B13" s="11">
        <v>50.0</v>
      </c>
      <c r="C13" s="10">
        <v>8.0</v>
      </c>
      <c r="D13" s="10">
        <v>2.0</v>
      </c>
      <c r="E13" s="10">
        <v>8.0</v>
      </c>
      <c r="F13" s="10">
        <v>5.0</v>
      </c>
      <c r="G13" s="10">
        <v>7.0</v>
      </c>
      <c r="H13" s="10">
        <v>10.0</v>
      </c>
      <c r="I13" s="10">
        <v>6.0</v>
      </c>
      <c r="J13" s="10">
        <v>4.0</v>
      </c>
      <c r="K13" s="10">
        <v>5.0</v>
      </c>
      <c r="L13" s="10">
        <v>4.0</v>
      </c>
      <c r="M13" s="10">
        <v>3.0</v>
      </c>
      <c r="N13" s="10">
        <v>5.0</v>
      </c>
      <c r="O13" s="9">
        <f t="shared" si="1"/>
        <v>67</v>
      </c>
    </row>
    <row r="14">
      <c r="A14" s="5" t="s">
        <v>27</v>
      </c>
      <c r="B14" s="11">
        <v>60.0</v>
      </c>
      <c r="C14" s="10">
        <v>6.0</v>
      </c>
      <c r="D14" s="10">
        <v>3.0</v>
      </c>
      <c r="E14" s="10">
        <v>5.0</v>
      </c>
      <c r="F14" s="10">
        <v>2.0</v>
      </c>
      <c r="G14" s="10">
        <v>0.0</v>
      </c>
      <c r="H14" s="10">
        <v>0.0</v>
      </c>
      <c r="I14" s="10">
        <v>6.0</v>
      </c>
      <c r="J14" s="10">
        <v>4.0</v>
      </c>
      <c r="K14" s="10">
        <v>1.0</v>
      </c>
      <c r="L14" s="10">
        <v>2.0</v>
      </c>
      <c r="M14" s="10">
        <v>1.0</v>
      </c>
      <c r="N14" s="10">
        <v>2.0</v>
      </c>
      <c r="O14" s="9">
        <f t="shared" si="1"/>
        <v>32</v>
      </c>
    </row>
    <row r="15">
      <c r="A15" s="5" t="s">
        <v>28</v>
      </c>
      <c r="B15" s="11">
        <v>80.0</v>
      </c>
      <c r="C15" s="11">
        <v>5.0</v>
      </c>
      <c r="D15" s="10">
        <v>2.0</v>
      </c>
      <c r="E15" s="10">
        <v>6.0</v>
      </c>
      <c r="F15" s="10">
        <v>4.0</v>
      </c>
      <c r="G15" s="10">
        <v>5.0</v>
      </c>
      <c r="H15" s="10">
        <v>3.0</v>
      </c>
      <c r="I15" s="10">
        <v>6.0</v>
      </c>
      <c r="J15" s="10">
        <v>2.0</v>
      </c>
      <c r="K15" s="10">
        <v>4.0</v>
      </c>
      <c r="L15" s="10">
        <v>3.0</v>
      </c>
      <c r="M15" s="10">
        <v>2.0</v>
      </c>
      <c r="N15" s="10">
        <v>4.0</v>
      </c>
      <c r="O15" s="9">
        <f t="shared" si="1"/>
        <v>46</v>
      </c>
    </row>
    <row r="16">
      <c r="A16" s="5" t="s">
        <v>29</v>
      </c>
      <c r="B16" s="11">
        <v>490.0</v>
      </c>
      <c r="C16" s="11">
        <v>1.0</v>
      </c>
      <c r="D16" s="11">
        <v>3.0</v>
      </c>
      <c r="E16" s="11">
        <v>2.0</v>
      </c>
      <c r="F16" s="10">
        <v>1.0</v>
      </c>
      <c r="G16" s="10">
        <v>1.0</v>
      </c>
      <c r="H16" s="10">
        <v>0.0</v>
      </c>
      <c r="I16" s="10">
        <v>2.0</v>
      </c>
      <c r="J16" s="10">
        <v>1.0</v>
      </c>
      <c r="K16" s="11">
        <v>1.0</v>
      </c>
      <c r="L16" s="10">
        <v>0.0</v>
      </c>
      <c r="M16" s="10">
        <v>2.0</v>
      </c>
      <c r="N16" s="10">
        <v>1.0</v>
      </c>
      <c r="O16" s="9">
        <f t="shared" si="1"/>
        <v>15</v>
      </c>
    </row>
    <row r="17">
      <c r="A17" s="5" t="s">
        <v>30</v>
      </c>
      <c r="B17" s="11">
        <v>570.0</v>
      </c>
      <c r="C17" s="11">
        <v>0.0</v>
      </c>
      <c r="D17" s="10">
        <v>0.0</v>
      </c>
      <c r="E17" s="11">
        <v>0.0</v>
      </c>
      <c r="F17" s="10">
        <v>1.0</v>
      </c>
      <c r="G17" s="10">
        <v>0.0</v>
      </c>
      <c r="H17" s="11">
        <v>0.0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9">
        <f t="shared" si="1"/>
        <v>1</v>
      </c>
    </row>
    <row r="18">
      <c r="A18" s="5" t="s">
        <v>31</v>
      </c>
      <c r="B18" s="6">
        <v>1500.0</v>
      </c>
      <c r="C18" s="10">
        <v>0.0</v>
      </c>
      <c r="D18" s="10">
        <v>0.0</v>
      </c>
      <c r="E18" s="10">
        <v>0.0</v>
      </c>
      <c r="F18" s="11">
        <v>1.0</v>
      </c>
      <c r="G18" s="10">
        <v>2.0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1.0</v>
      </c>
      <c r="N18" s="10">
        <v>0.0</v>
      </c>
      <c r="O18" s="9">
        <f t="shared" si="1"/>
        <v>4</v>
      </c>
    </row>
    <row r="19">
      <c r="A19" s="5" t="s">
        <v>32</v>
      </c>
      <c r="B19" s="11">
        <v>460.0</v>
      </c>
      <c r="C19" s="11">
        <v>1.0</v>
      </c>
      <c r="D19" s="10">
        <v>0.0</v>
      </c>
      <c r="E19" s="11">
        <v>0.0</v>
      </c>
      <c r="F19" s="10">
        <v>0.0</v>
      </c>
      <c r="G19" s="10">
        <v>0.0</v>
      </c>
      <c r="H19" s="10">
        <v>1.0</v>
      </c>
      <c r="I19" s="10">
        <v>0.0</v>
      </c>
      <c r="J19" s="10">
        <v>0.0</v>
      </c>
      <c r="K19" s="10">
        <v>0.0</v>
      </c>
      <c r="L19" s="10">
        <v>1.0</v>
      </c>
      <c r="M19" s="10">
        <v>0.0</v>
      </c>
      <c r="N19" s="10">
        <v>0.0</v>
      </c>
      <c r="O19" s="9">
        <f t="shared" si="1"/>
        <v>3</v>
      </c>
    </row>
    <row r="20">
      <c r="A20" s="5" t="s">
        <v>33</v>
      </c>
      <c r="B20" s="11">
        <v>120.0</v>
      </c>
      <c r="C20" s="10">
        <v>4.0</v>
      </c>
      <c r="D20" s="10">
        <v>1.0</v>
      </c>
      <c r="E20" s="10">
        <v>5.0</v>
      </c>
      <c r="F20" s="10">
        <v>3.0</v>
      </c>
      <c r="G20" s="10">
        <v>4.0</v>
      </c>
      <c r="H20" s="10">
        <v>2.0</v>
      </c>
      <c r="I20" s="10">
        <v>5.0</v>
      </c>
      <c r="J20" s="10">
        <v>3.0</v>
      </c>
      <c r="K20" s="10">
        <v>4.0</v>
      </c>
      <c r="L20" s="10">
        <v>3.0</v>
      </c>
      <c r="M20" s="10">
        <v>2.0</v>
      </c>
      <c r="N20" s="10">
        <v>4.0</v>
      </c>
      <c r="O20" s="9">
        <f t="shared" si="1"/>
        <v>40</v>
      </c>
    </row>
    <row r="21">
      <c r="A21" s="5" t="s">
        <v>34</v>
      </c>
      <c r="B21" s="11">
        <v>60.0</v>
      </c>
      <c r="C21" s="10">
        <v>2.0</v>
      </c>
      <c r="D21" s="10">
        <v>11.0</v>
      </c>
      <c r="E21" s="10">
        <v>8.0</v>
      </c>
      <c r="F21" s="10">
        <v>7.0</v>
      </c>
      <c r="G21" s="10">
        <v>6.0</v>
      </c>
      <c r="H21" s="10">
        <v>5.0</v>
      </c>
      <c r="I21" s="10">
        <v>4.0</v>
      </c>
      <c r="J21" s="10">
        <v>3.0</v>
      </c>
      <c r="K21" s="10">
        <v>6.0</v>
      </c>
      <c r="L21" s="10">
        <v>5.0</v>
      </c>
      <c r="M21" s="10">
        <v>4.0</v>
      </c>
      <c r="N21" s="10">
        <v>5.0</v>
      </c>
      <c r="O21" s="9">
        <f t="shared" si="1"/>
        <v>66</v>
      </c>
    </row>
    <row r="22">
      <c r="A22" s="5" t="s">
        <v>35</v>
      </c>
      <c r="B22" s="11">
        <v>80.0</v>
      </c>
      <c r="C22" s="11">
        <v>10.0</v>
      </c>
      <c r="D22" s="11">
        <v>2.0</v>
      </c>
      <c r="E22" s="11">
        <v>7.0</v>
      </c>
      <c r="F22" s="10">
        <v>6.0</v>
      </c>
      <c r="G22" s="10">
        <v>9.0</v>
      </c>
      <c r="H22" s="10">
        <v>5.0</v>
      </c>
      <c r="I22" s="10">
        <v>8.0</v>
      </c>
      <c r="J22" s="10">
        <v>4.0</v>
      </c>
      <c r="K22" s="10">
        <v>7.0</v>
      </c>
      <c r="L22" s="10">
        <v>6.0</v>
      </c>
      <c r="M22" s="10">
        <v>5.0</v>
      </c>
      <c r="N22" s="10">
        <v>7.0</v>
      </c>
      <c r="O22" s="9">
        <f t="shared" si="1"/>
        <v>76</v>
      </c>
    </row>
    <row r="23">
      <c r="A23" s="15" t="s">
        <v>14</v>
      </c>
      <c r="B23" s="16"/>
      <c r="C23" s="17">
        <f>sum(C2:C22)</f>
        <v>113</v>
      </c>
      <c r="D23" s="17">
        <f t="shared" ref="D23:N23" si="2">SUM(D2:D22)</f>
        <v>76</v>
      </c>
      <c r="E23" s="17">
        <f t="shared" si="2"/>
        <v>104</v>
      </c>
      <c r="F23" s="17">
        <f t="shared" si="2"/>
        <v>100</v>
      </c>
      <c r="G23" s="17">
        <f t="shared" si="2"/>
        <v>117</v>
      </c>
      <c r="H23" s="17">
        <f t="shared" si="2"/>
        <v>94</v>
      </c>
      <c r="I23" s="17">
        <f t="shared" si="2"/>
        <v>128</v>
      </c>
      <c r="J23" s="17">
        <f t="shared" si="2"/>
        <v>88</v>
      </c>
      <c r="K23" s="17">
        <f t="shared" si="2"/>
        <v>100</v>
      </c>
      <c r="L23" s="17">
        <f t="shared" si="2"/>
        <v>93</v>
      </c>
      <c r="M23" s="17">
        <f t="shared" si="2"/>
        <v>80</v>
      </c>
      <c r="N23" s="17">
        <f t="shared" si="2"/>
        <v>102</v>
      </c>
      <c r="O23" s="18">
        <f t="shared" si="1"/>
        <v>1195</v>
      </c>
    </row>
    <row r="24">
      <c r="A24" s="19"/>
    </row>
    <row r="25">
      <c r="A25" s="19"/>
    </row>
    <row r="26">
      <c r="A26" s="19"/>
    </row>
    <row r="27">
      <c r="A27" s="19"/>
    </row>
    <row r="28">
      <c r="A28" s="20"/>
      <c r="B28" s="21"/>
      <c r="C28" s="22"/>
      <c r="D28" s="22"/>
      <c r="E28" s="23"/>
      <c r="F28" s="22"/>
      <c r="G28" s="23"/>
      <c r="H28" s="22"/>
      <c r="I28" s="22"/>
      <c r="J28" s="23"/>
      <c r="K28" s="22"/>
      <c r="L28" s="22"/>
      <c r="M28" s="22"/>
      <c r="N28" s="22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19"/>
    </row>
    <row r="30">
      <c r="A30" s="20"/>
      <c r="B30" s="21"/>
      <c r="C30" s="24"/>
      <c r="D30" s="21"/>
      <c r="E30" s="24"/>
      <c r="F30" s="24"/>
      <c r="G30" s="21"/>
      <c r="H30" s="24"/>
      <c r="I30" s="24"/>
      <c r="J30" s="24"/>
      <c r="K30" s="24"/>
      <c r="L30" s="24"/>
      <c r="M30" s="24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19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19"/>
    </row>
    <row r="38">
      <c r="A38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</sheetData>
  <dataValidations>
    <dataValidation type="custom" allowBlank="1" showDropDown="1" sqref="B2:O23">
      <formula1>AND(ISNUMBER(B2),(NOT(OR(NOT(ISERROR(DATEVALUE(B2))), AND(ISNUMBER(B2), LEFT(CELL("format", B2))="D")))))</formula1>
    </dataValidation>
    <dataValidation allowBlank="1" showDropDown="1" sqref="A2:A23"/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6.75"/>
    <col customWidth="1" min="3" max="3" width="17.25"/>
    <col customWidth="1" min="4" max="4" width="17.5"/>
    <col customWidth="1" min="5" max="5" width="16.38"/>
  </cols>
  <sheetData>
    <row r="1">
      <c r="A1" s="25" t="s">
        <v>0</v>
      </c>
      <c r="B1" s="26" t="s">
        <v>36</v>
      </c>
      <c r="C1" s="27" t="s">
        <v>37</v>
      </c>
      <c r="D1" s="27" t="s">
        <v>38</v>
      </c>
      <c r="E1" s="27" t="s">
        <v>39</v>
      </c>
    </row>
    <row r="2">
      <c r="A2" s="5" t="s">
        <v>15</v>
      </c>
      <c r="B2" s="28">
        <v>10810.0</v>
      </c>
      <c r="C2" s="29">
        <v>77.0</v>
      </c>
      <c r="D2" s="29">
        <v>3.0</v>
      </c>
      <c r="E2" s="30"/>
    </row>
    <row r="3">
      <c r="A3" s="5" t="s">
        <v>16</v>
      </c>
      <c r="B3" s="31">
        <v>2875.0</v>
      </c>
      <c r="C3" s="29">
        <v>10.0</v>
      </c>
      <c r="D3" s="32"/>
      <c r="E3" s="30"/>
    </row>
    <row r="4">
      <c r="A4" s="5" t="s">
        <v>17</v>
      </c>
      <c r="B4" s="28">
        <v>14835.0</v>
      </c>
      <c r="C4" s="29">
        <v>93.0</v>
      </c>
      <c r="D4" s="32"/>
      <c r="E4" s="33">
        <v>29.0</v>
      </c>
    </row>
    <row r="5">
      <c r="A5" s="5" t="s">
        <v>18</v>
      </c>
      <c r="B5" s="31">
        <v>17940.0</v>
      </c>
      <c r="C5" s="29">
        <v>52.0</v>
      </c>
      <c r="D5" s="32"/>
      <c r="E5" s="33">
        <v>67.0</v>
      </c>
    </row>
    <row r="6">
      <c r="A6" s="5" t="s">
        <v>19</v>
      </c>
      <c r="B6" s="28">
        <v>15870.0</v>
      </c>
      <c r="C6" s="29">
        <v>44.0</v>
      </c>
      <c r="D6" s="29">
        <v>6.0</v>
      </c>
      <c r="E6" s="30"/>
      <c r="H6" s="34" t="s">
        <v>40</v>
      </c>
    </row>
    <row r="7">
      <c r="A7" s="5" t="s">
        <v>20</v>
      </c>
      <c r="B7" s="31">
        <v>9200.0</v>
      </c>
      <c r="C7" s="29">
        <v>79.0</v>
      </c>
      <c r="D7" s="29">
        <v>11.0</v>
      </c>
      <c r="E7" s="30"/>
    </row>
    <row r="8">
      <c r="A8" s="5" t="s">
        <v>21</v>
      </c>
      <c r="B8" s="28">
        <v>9890.0</v>
      </c>
      <c r="C8" s="29">
        <v>22.0</v>
      </c>
      <c r="D8" s="32"/>
      <c r="E8" s="33">
        <v>19.0</v>
      </c>
    </row>
    <row r="9">
      <c r="A9" s="5" t="s">
        <v>22</v>
      </c>
      <c r="B9" s="31">
        <v>9660.0</v>
      </c>
      <c r="C9" s="29">
        <v>71.0</v>
      </c>
      <c r="D9" s="32"/>
      <c r="E9" s="33">
        <v>11.0</v>
      </c>
    </row>
    <row r="10">
      <c r="A10" s="5" t="s">
        <v>23</v>
      </c>
      <c r="B10" s="28">
        <v>15180.0</v>
      </c>
      <c r="C10" s="29">
        <v>181.0</v>
      </c>
      <c r="D10" s="32"/>
      <c r="E10" s="30"/>
    </row>
    <row r="11">
      <c r="A11" s="5" t="s">
        <v>24</v>
      </c>
      <c r="B11" s="31">
        <v>14720.0</v>
      </c>
      <c r="C11" s="29">
        <v>121.0</v>
      </c>
      <c r="D11" s="32"/>
      <c r="E11" s="33">
        <v>32.0</v>
      </c>
    </row>
    <row r="12">
      <c r="A12" s="5" t="s">
        <v>25</v>
      </c>
      <c r="B12" s="28">
        <v>12075.0</v>
      </c>
      <c r="C12" s="29">
        <v>95.0</v>
      </c>
      <c r="D12" s="32"/>
      <c r="E12" s="30"/>
    </row>
    <row r="13">
      <c r="A13" s="5" t="s">
        <v>26</v>
      </c>
      <c r="B13" s="31">
        <v>16215.0</v>
      </c>
      <c r="C13" s="29">
        <v>67.0</v>
      </c>
      <c r="D13" s="32"/>
      <c r="E13" s="30"/>
    </row>
    <row r="14">
      <c r="A14" s="5" t="s">
        <v>27</v>
      </c>
      <c r="B14" s="28">
        <v>12535.0</v>
      </c>
      <c r="C14" s="29">
        <v>32.0</v>
      </c>
      <c r="D14" s="32"/>
      <c r="E14" s="30"/>
    </row>
    <row r="15">
      <c r="A15" s="5" t="s">
        <v>28</v>
      </c>
      <c r="B15" s="31">
        <v>17940.0</v>
      </c>
      <c r="C15" s="29">
        <v>46.0</v>
      </c>
      <c r="D15" s="32"/>
      <c r="E15" s="33">
        <v>43.0</v>
      </c>
    </row>
    <row r="16">
      <c r="A16" s="5" t="s">
        <v>29</v>
      </c>
      <c r="B16" s="28">
        <v>23795.0</v>
      </c>
      <c r="C16" s="29">
        <v>15.0</v>
      </c>
      <c r="D16" s="32"/>
      <c r="E16" s="30"/>
    </row>
    <row r="17">
      <c r="A17" s="5" t="s">
        <v>30</v>
      </c>
      <c r="B17" s="31">
        <v>11495.0</v>
      </c>
      <c r="C17" s="29">
        <v>1.0</v>
      </c>
      <c r="D17" s="32"/>
      <c r="E17" s="30"/>
    </row>
    <row r="18">
      <c r="A18" s="5" t="s">
        <v>31</v>
      </c>
      <c r="B18" s="28">
        <v>15840.0</v>
      </c>
      <c r="C18" s="29">
        <v>4.0</v>
      </c>
      <c r="D18" s="32"/>
      <c r="E18" s="30"/>
    </row>
    <row r="19">
      <c r="A19" s="5" t="s">
        <v>32</v>
      </c>
      <c r="B19" s="31">
        <v>22760.0</v>
      </c>
      <c r="C19" s="29">
        <v>3.0</v>
      </c>
      <c r="D19" s="32"/>
      <c r="E19" s="30"/>
    </row>
    <row r="20">
      <c r="A20" s="5" t="s">
        <v>33</v>
      </c>
      <c r="B20" s="28">
        <v>11500.0</v>
      </c>
      <c r="C20" s="29">
        <v>40.0</v>
      </c>
      <c r="D20" s="32"/>
      <c r="E20" s="30"/>
    </row>
    <row r="21">
      <c r="A21" s="5" t="s">
        <v>34</v>
      </c>
      <c r="B21" s="31">
        <v>10465.0</v>
      </c>
      <c r="C21" s="29">
        <v>66.0</v>
      </c>
      <c r="D21" s="32"/>
      <c r="E21" s="30"/>
    </row>
    <row r="22">
      <c r="A22" s="5" t="s">
        <v>35</v>
      </c>
      <c r="B22" s="28">
        <v>11615.0</v>
      </c>
      <c r="C22" s="29">
        <v>76.0</v>
      </c>
      <c r="D22" s="32"/>
      <c r="E22" s="30"/>
    </row>
    <row r="23">
      <c r="A23" s="35"/>
      <c r="B23" s="36">
        <f t="shared" ref="B23:E23" si="1">SUM(B2:B22)</f>
        <v>287215</v>
      </c>
      <c r="C23" s="37">
        <f t="shared" si="1"/>
        <v>1195</v>
      </c>
      <c r="D23" s="37">
        <f t="shared" si="1"/>
        <v>20</v>
      </c>
      <c r="E23" s="38">
        <f t="shared" si="1"/>
        <v>201</v>
      </c>
    </row>
  </sheetData>
  <dataValidations>
    <dataValidation type="custom" allowBlank="1" showDropDown="1" sqref="B2:E23">
      <formula1>AND(ISNUMBER(B2),(NOT(OR(NOT(ISERROR(DATEVALUE(B2))), AND(ISNUMBER(B2), LEFT(CELL("format", B2))="D")))))</formula1>
    </dataValidation>
    <dataValidation allowBlank="1" showDropDown="1" sqref="A2:A23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22.63"/>
    <col customWidth="1" min="3" max="3" width="15.38"/>
    <col customWidth="1" min="4" max="4" width="19.5"/>
    <col customWidth="1" min="5" max="5" width="18.75"/>
  </cols>
  <sheetData>
    <row r="1">
      <c r="A1" s="39" t="s">
        <v>41</v>
      </c>
      <c r="B1" s="39" t="s">
        <v>42</v>
      </c>
      <c r="C1" s="39" t="s">
        <v>43</v>
      </c>
      <c r="D1" s="39" t="s">
        <v>44</v>
      </c>
    </row>
    <row r="2">
      <c r="A2" s="40">
        <v>1.0</v>
      </c>
      <c r="B2" s="41">
        <f>SUMPRODUCT(Sales!B2:B22, Sales!C2:C22)
</f>
        <v>24252</v>
      </c>
      <c r="C2" s="41">
        <v>3132.0</v>
      </c>
      <c r="D2" s="42">
        <f t="shared" ref="D2:D13" si="1">B2-C2</f>
        <v>21120</v>
      </c>
    </row>
    <row r="3">
      <c r="A3" s="40">
        <v>2.0</v>
      </c>
      <c r="B3" s="41">
        <f>SUMPRODUCT(Sales!B2:B22, Sales!D2:D22)
</f>
        <v>17752</v>
      </c>
      <c r="C3" s="41">
        <v>2123.0</v>
      </c>
      <c r="D3" s="42">
        <f t="shared" si="1"/>
        <v>15629</v>
      </c>
    </row>
    <row r="4">
      <c r="A4" s="40">
        <v>3.0</v>
      </c>
      <c r="B4" s="41">
        <f>SUMPRODUCT(Sales!B2:B22, Sales!E2:E22)
</f>
        <v>19974</v>
      </c>
      <c r="C4" s="41">
        <v>5643.0</v>
      </c>
      <c r="D4" s="42">
        <f t="shared" si="1"/>
        <v>14331</v>
      </c>
    </row>
    <row r="5">
      <c r="A5" s="40">
        <v>4.0</v>
      </c>
      <c r="B5" s="41">
        <f>SUMPRODUCT(Sales!B2:B22, Sales!F2:F22)
</f>
        <v>24531</v>
      </c>
      <c r="C5" s="41">
        <v>3445.0</v>
      </c>
      <c r="D5" s="42">
        <f t="shared" si="1"/>
        <v>21086</v>
      </c>
    </row>
    <row r="6">
      <c r="A6" s="40">
        <v>5.0</v>
      </c>
      <c r="B6" s="41">
        <f>SUMPRODUCT(Sales!B2:B22, Sales!G2:G22)
</f>
        <v>29430</v>
      </c>
      <c r="C6" s="41">
        <v>4345.0</v>
      </c>
      <c r="D6" s="42">
        <f t="shared" si="1"/>
        <v>25085</v>
      </c>
    </row>
    <row r="7">
      <c r="A7" s="40">
        <v>6.0</v>
      </c>
      <c r="B7" s="41">
        <f>SUMPRODUCT(Sales!B2:B22, Sales!H2:H22)
</f>
        <v>19912</v>
      </c>
      <c r="C7" s="41">
        <v>1234.0</v>
      </c>
      <c r="D7" s="42">
        <f t="shared" si="1"/>
        <v>18678</v>
      </c>
    </row>
    <row r="8">
      <c r="A8" s="40">
        <v>7.0</v>
      </c>
      <c r="B8" s="41">
        <f>SUMPRODUCT(Sales!B2:B22, Sales!I2:I22)
</f>
        <v>30469</v>
      </c>
      <c r="C8" s="41">
        <v>5455.0</v>
      </c>
      <c r="D8" s="42">
        <f t="shared" si="1"/>
        <v>25014</v>
      </c>
    </row>
    <row r="9">
      <c r="A9" s="40">
        <v>8.0</v>
      </c>
      <c r="B9" s="41">
        <f>SUMPRODUCT(Sales!B2:B22, Sales!J2:J22)
</f>
        <v>25044</v>
      </c>
      <c r="C9" s="41">
        <v>2344.0</v>
      </c>
      <c r="D9" s="42">
        <f t="shared" si="1"/>
        <v>22700</v>
      </c>
    </row>
    <row r="10">
      <c r="A10" s="40">
        <v>9.0</v>
      </c>
      <c r="B10" s="41">
        <f>SUMPRODUCT(Sales!B2:B22, Sales!K2:K22)
</f>
        <v>26759</v>
      </c>
      <c r="C10" s="41">
        <v>1544.0</v>
      </c>
      <c r="D10" s="42">
        <f t="shared" si="1"/>
        <v>25215</v>
      </c>
    </row>
    <row r="11">
      <c r="A11" s="40">
        <v>10.0</v>
      </c>
      <c r="B11" s="41">
        <f>SUMPRODUCT(Sales!B10:B28, Sales!K10:K28)
</f>
        <v>4470</v>
      </c>
      <c r="C11" s="41">
        <v>788.0</v>
      </c>
      <c r="D11" s="42">
        <f t="shared" si="1"/>
        <v>3682</v>
      </c>
    </row>
    <row r="12">
      <c r="A12" s="40">
        <v>11.0</v>
      </c>
      <c r="B12" s="41">
        <f>SUMPRODUCT(Sales!B2:B22, Sales!M2:M22)
</f>
        <v>26262</v>
      </c>
      <c r="C12" s="41">
        <v>3245.0</v>
      </c>
      <c r="D12" s="42">
        <f t="shared" si="1"/>
        <v>23017</v>
      </c>
    </row>
    <row r="13">
      <c r="A13" s="43">
        <v>12.0</v>
      </c>
      <c r="B13" s="44">
        <f>SUMPRODUCT(Sales!B2:B22, Sales!N2:N22)
</f>
        <v>30590</v>
      </c>
      <c r="C13" s="44">
        <v>2709.0</v>
      </c>
      <c r="D13" s="45">
        <f t="shared" si="1"/>
        <v>27881</v>
      </c>
    </row>
  </sheetData>
  <dataValidations>
    <dataValidation type="custom" allowBlank="1" showDropDown="1" sqref="A2:D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0.5"/>
    <col customWidth="1" min="3" max="3" width="17.75"/>
    <col customWidth="1" min="4" max="4" width="19.75"/>
    <col customWidth="1" min="5" max="5" width="24.5"/>
    <col customWidth="1" min="6" max="6" width="19.75"/>
    <col customWidth="1" min="7" max="7" width="18.63"/>
    <col customWidth="1" min="8" max="8" width="23.63"/>
    <col customWidth="1" min="9" max="9" width="18.5"/>
    <col customWidth="1" min="10" max="10" width="25.0"/>
    <col customWidth="1" min="11" max="11" width="20.88"/>
    <col customWidth="1" min="12" max="12" width="22.25"/>
    <col customWidth="1" min="13" max="13" width="30.38"/>
    <col customWidth="1" min="14" max="14" width="19.75"/>
    <col customWidth="1" min="15" max="15" width="23.5"/>
    <col customWidth="1" min="16" max="16" width="20.63"/>
    <col customWidth="1" min="18" max="18" width="20.25"/>
    <col customWidth="1" min="19" max="19" width="18.25"/>
    <col customWidth="1" min="20" max="20" width="14.75"/>
  </cols>
  <sheetData>
    <row r="1">
      <c r="A1" s="46"/>
      <c r="B1" s="46"/>
      <c r="C1" s="46"/>
      <c r="D1" s="46"/>
      <c r="E1" s="46"/>
    </row>
    <row r="2">
      <c r="A2" s="47"/>
      <c r="B2" s="48"/>
      <c r="C2" s="48"/>
      <c r="D2" s="48"/>
      <c r="E2" s="49"/>
      <c r="K2" s="50"/>
    </row>
    <row r="3">
      <c r="A3" s="25" t="s">
        <v>45</v>
      </c>
      <c r="B3" s="25" t="s">
        <v>46</v>
      </c>
      <c r="C3" s="25" t="s">
        <v>47</v>
      </c>
      <c r="D3" s="25" t="s">
        <v>48</v>
      </c>
      <c r="E3" s="25" t="s">
        <v>49</v>
      </c>
      <c r="F3" s="51" t="s">
        <v>50</v>
      </c>
      <c r="G3" s="51" t="s">
        <v>51</v>
      </c>
      <c r="H3" s="51" t="s">
        <v>52</v>
      </c>
      <c r="K3" s="52"/>
    </row>
    <row r="4">
      <c r="A4" s="5" t="s">
        <v>15</v>
      </c>
      <c r="B4" s="53">
        <f>(SUM(Sales!C2:N2))
</f>
        <v>77</v>
      </c>
      <c r="C4" s="53">
        <f>MAX(Sales!C2:N2)</f>
        <v>9</v>
      </c>
      <c r="D4" s="53">
        <f>MIN(Sales!C2:N2)</f>
        <v>4</v>
      </c>
      <c r="E4" s="54">
        <f>Sales!B2*Calculations!B4</f>
        <v>138600</v>
      </c>
      <c r="F4" s="55">
        <f>AVERAGE(Sales!C2:N2)</f>
        <v>6.416666667</v>
      </c>
      <c r="G4" s="56">
        <f>Sales!B2
</f>
        <v>1800</v>
      </c>
      <c r="H4" s="57">
        <f>AVERAGE(Sales!C2:N2) * Sales!B2
</f>
        <v>11550</v>
      </c>
      <c r="J4" s="58" t="s">
        <v>41</v>
      </c>
      <c r="K4" s="58" t="s">
        <v>53</v>
      </c>
      <c r="M4" s="25" t="s">
        <v>45</v>
      </c>
      <c r="N4" s="25" t="s">
        <v>54</v>
      </c>
    </row>
    <row r="5">
      <c r="A5" s="5" t="s">
        <v>16</v>
      </c>
      <c r="B5" s="54">
        <f>(SUM(Sales!C3:N3))
</f>
        <v>10</v>
      </c>
      <c r="C5" s="54">
        <f>MAX(Sales!C3:N3)</f>
        <v>2</v>
      </c>
      <c r="D5" s="54">
        <f>MIN(Sales!C3:N3)</f>
        <v>0</v>
      </c>
      <c r="E5" s="54">
        <f>Sales!B3*Calculations!B5</f>
        <v>7990</v>
      </c>
      <c r="F5" s="59">
        <f>AVERAGE(Sales!C3:N3)</f>
        <v>0.8333333333</v>
      </c>
      <c r="G5" s="55">
        <f>Sales!B3
</f>
        <v>799</v>
      </c>
      <c r="H5" s="57">
        <f>AVERAGE(Sales!C3:N3) * Sales!B3
</f>
        <v>665.8333333</v>
      </c>
      <c r="J5" s="60">
        <v>1.0</v>
      </c>
      <c r="K5" s="61">
        <f>sum(Sales!C2:Sales!C22)</f>
        <v>113</v>
      </c>
      <c r="M5" s="62" t="s">
        <v>55</v>
      </c>
      <c r="N5" s="63">
        <f>LARGE(E4:E24,1)</f>
        <v>138600</v>
      </c>
    </row>
    <row r="6">
      <c r="A6" s="5" t="s">
        <v>17</v>
      </c>
      <c r="B6" s="53">
        <f>(SUM(Sales!C4:N4))
</f>
        <v>93</v>
      </c>
      <c r="C6" s="53">
        <f>MAX(Sales!C4:N4)</f>
        <v>10</v>
      </c>
      <c r="D6" s="53">
        <f>MIN(Sales!C4:N4)</f>
        <v>5</v>
      </c>
      <c r="E6" s="54">
        <f>Sales!B4*Calculations!B6</f>
        <v>46407</v>
      </c>
      <c r="F6" s="55">
        <f>AVERAGE(Sales!C4:N4)</f>
        <v>7.75</v>
      </c>
      <c r="G6" s="59">
        <f>Sales!B4
</f>
        <v>499</v>
      </c>
      <c r="H6" s="57">
        <f>AVERAGE(Sales!C4:N4) * Sales!B4
</f>
        <v>3867.25</v>
      </c>
      <c r="J6" s="60">
        <v>2.0</v>
      </c>
      <c r="K6" s="61">
        <f>sum(Sales!D2:Sales!D22)</f>
        <v>76</v>
      </c>
      <c r="M6" s="64" t="s">
        <v>17</v>
      </c>
      <c r="N6" s="63">
        <f>LARGE(E4:E24,2)</f>
        <v>46407</v>
      </c>
      <c r="S6" s="65" t="s">
        <v>41</v>
      </c>
      <c r="T6" s="65" t="s">
        <v>56</v>
      </c>
      <c r="V6" s="65" t="s">
        <v>41</v>
      </c>
      <c r="W6" s="65" t="s">
        <v>56</v>
      </c>
    </row>
    <row r="7">
      <c r="A7" s="5" t="s">
        <v>18</v>
      </c>
      <c r="B7" s="53">
        <f>(SUM(Sales!C5:N5))
</f>
        <v>52</v>
      </c>
      <c r="C7" s="53">
        <f>MAX(Sales!C5:N5)</f>
        <v>6</v>
      </c>
      <c r="D7" s="53">
        <f>MIN(Sales!C5:N5)</f>
        <v>3</v>
      </c>
      <c r="E7" s="54">
        <f>Sales!B5*Calculations!B7</f>
        <v>3120</v>
      </c>
      <c r="F7" s="55">
        <f>AVERAGE(Sales!C5:N5)</f>
        <v>4.333333333</v>
      </c>
      <c r="G7" s="59">
        <f>Sales!B5
</f>
        <v>60</v>
      </c>
      <c r="H7" s="57">
        <f>AVERAGE(Sales!C5:N5) * Sales!B5
</f>
        <v>260</v>
      </c>
      <c r="J7" s="60">
        <v>3.0</v>
      </c>
      <c r="K7" s="61">
        <f>sum(Sales!E2:Sales!E22)</f>
        <v>104</v>
      </c>
      <c r="M7" s="64" t="s">
        <v>19</v>
      </c>
      <c r="N7" s="63">
        <f>LARGE(E4:E24,3)</f>
        <v>20240</v>
      </c>
      <c r="S7" s="66">
        <v>1.0</v>
      </c>
      <c r="T7" s="67">
        <v>12.0</v>
      </c>
      <c r="V7" s="66">
        <v>1.0</v>
      </c>
      <c r="W7" s="68">
        <v>0.0</v>
      </c>
    </row>
    <row r="8">
      <c r="A8" s="5" t="s">
        <v>19</v>
      </c>
      <c r="B8" s="54">
        <f>(SUM(Sales!C6:N6))
</f>
        <v>44</v>
      </c>
      <c r="C8" s="54">
        <f>MAX(Sales!C6:N6)</f>
        <v>6</v>
      </c>
      <c r="D8" s="54">
        <f>MIN(Sales!C6:N6)</f>
        <v>1</v>
      </c>
      <c r="E8" s="54">
        <f>Sales!B6*Calculations!B8</f>
        <v>20240</v>
      </c>
      <c r="F8" s="59">
        <f>AVERAGE(Sales!C6:N6)</f>
        <v>3.666666667</v>
      </c>
      <c r="G8" s="59">
        <f>Sales!B6
</f>
        <v>460</v>
      </c>
      <c r="H8" s="57">
        <f>AVERAGE(Sales!C6:N6) * Sales!B6
</f>
        <v>1686.666667</v>
      </c>
      <c r="J8" s="60">
        <v>4.0</v>
      </c>
      <c r="K8" s="61">
        <f>sum(Sales!F2:Sales!F22)</f>
        <v>100</v>
      </c>
      <c r="M8" s="69" t="s">
        <v>20</v>
      </c>
      <c r="N8" s="70">
        <f>LARGE(E4:E24,4)</f>
        <v>12640</v>
      </c>
      <c r="S8" s="66">
        <v>2.0</v>
      </c>
      <c r="T8" s="67">
        <v>13.0</v>
      </c>
      <c r="V8" s="66">
        <v>2.0</v>
      </c>
      <c r="W8" s="68">
        <v>1.0</v>
      </c>
    </row>
    <row r="9">
      <c r="A9" s="5" t="s">
        <v>20</v>
      </c>
      <c r="B9" s="53">
        <f>(SUM(Sales!C7:N7))
</f>
        <v>79</v>
      </c>
      <c r="C9" s="53">
        <f>MAX(Sales!C7:N7)</f>
        <v>11</v>
      </c>
      <c r="D9" s="53">
        <f>MIN(Sales!C7:N7)</f>
        <v>3</v>
      </c>
      <c r="E9" s="54">
        <f>Sales!B7*Calculations!B9</f>
        <v>12640</v>
      </c>
      <c r="F9" s="55">
        <f>AVERAGE(Sales!C7:N7)</f>
        <v>6.583333333</v>
      </c>
      <c r="G9" s="59">
        <f>Sales!B7
</f>
        <v>160</v>
      </c>
      <c r="H9" s="57">
        <f>AVERAGE(Sales!C7:N7) * Sales!B7
</f>
        <v>1053.333333</v>
      </c>
      <c r="J9" s="60">
        <v>5.0</v>
      </c>
      <c r="K9" s="61">
        <f>sum(Sales!G2:Sales!G22)</f>
        <v>117</v>
      </c>
      <c r="P9" s="65" t="s">
        <v>41</v>
      </c>
      <c r="Q9" s="65" t="s">
        <v>56</v>
      </c>
      <c r="S9" s="66">
        <v>3.0</v>
      </c>
      <c r="T9" s="67">
        <v>14.0</v>
      </c>
      <c r="V9" s="66">
        <v>3.0</v>
      </c>
      <c r="W9" s="68">
        <v>1.0</v>
      </c>
    </row>
    <row r="10">
      <c r="A10" s="5" t="s">
        <v>21</v>
      </c>
      <c r="B10" s="53">
        <f>(SUM(Sales!C8:N8))
</f>
        <v>22</v>
      </c>
      <c r="C10" s="53">
        <f>MAX(Sales!C8:N8)</f>
        <v>3</v>
      </c>
      <c r="D10" s="53">
        <f>MIN(Sales!C8:N8)</f>
        <v>1</v>
      </c>
      <c r="E10" s="54">
        <f>Sales!B8*Calculations!B10</f>
        <v>5720</v>
      </c>
      <c r="F10" s="55">
        <f>AVERAGE(Sales!C8:N8)</f>
        <v>1.833333333</v>
      </c>
      <c r="G10" s="59">
        <f>Sales!B8
</f>
        <v>260</v>
      </c>
      <c r="H10" s="57">
        <f>AVERAGE(Sales!C8:N8) * Sales!B8
</f>
        <v>476.6666667</v>
      </c>
      <c r="J10" s="60">
        <v>6.0</v>
      </c>
      <c r="K10" s="61">
        <f>sum(Sales!H2:Sales!H22)</f>
        <v>94</v>
      </c>
      <c r="P10" s="66">
        <v>1.0</v>
      </c>
      <c r="Q10" s="68">
        <v>11.0</v>
      </c>
      <c r="S10" s="66">
        <v>4.0</v>
      </c>
      <c r="T10" s="67">
        <v>15.0</v>
      </c>
      <c r="V10" s="66">
        <v>4.0</v>
      </c>
      <c r="W10" s="68">
        <v>2.0</v>
      </c>
    </row>
    <row r="11">
      <c r="A11" s="5" t="s">
        <v>22</v>
      </c>
      <c r="B11" s="53">
        <f>(SUM(Sales!C9:N9))
</f>
        <v>71</v>
      </c>
      <c r="C11" s="53">
        <f>MAX(Sales!C9:N9)</f>
        <v>9</v>
      </c>
      <c r="D11" s="53">
        <f>MIN(Sales!C9:N9)</f>
        <v>3</v>
      </c>
      <c r="E11" s="54">
        <f>Sales!B9*Calculations!B11</f>
        <v>7100</v>
      </c>
      <c r="F11" s="55">
        <f>AVERAGE(Sales!C9:N9)</f>
        <v>5.916666667</v>
      </c>
      <c r="G11" s="59">
        <f>Sales!B9
</f>
        <v>100</v>
      </c>
      <c r="H11" s="57">
        <f>AVERAGE(Sales!C9:N9) * Sales!B9
</f>
        <v>591.6666667</v>
      </c>
      <c r="J11" s="60">
        <v>7.0</v>
      </c>
      <c r="K11" s="61">
        <f>sum(Sales!I2:Sales!I22)</f>
        <v>128</v>
      </c>
      <c r="M11" s="65" t="s">
        <v>45</v>
      </c>
      <c r="N11" s="65" t="s">
        <v>46</v>
      </c>
      <c r="P11" s="66">
        <v>2.0</v>
      </c>
      <c r="Q11" s="68">
        <v>3.0</v>
      </c>
      <c r="S11" s="66">
        <v>5.0</v>
      </c>
      <c r="T11" s="67">
        <v>18.0</v>
      </c>
      <c r="V11" s="66">
        <v>5.0</v>
      </c>
      <c r="W11" s="68">
        <v>1.0</v>
      </c>
    </row>
    <row r="12">
      <c r="A12" s="5" t="s">
        <v>23</v>
      </c>
      <c r="B12" s="53">
        <f>(SUM(Sales!C10:N10))
</f>
        <v>181</v>
      </c>
      <c r="C12" s="53">
        <f>MAX(Sales!C10:N10)</f>
        <v>20</v>
      </c>
      <c r="D12" s="53">
        <f>MIN(Sales!C10:N10)</f>
        <v>12</v>
      </c>
      <c r="E12" s="54">
        <f>Sales!B10*Calculations!B12</f>
        <v>7240</v>
      </c>
      <c r="F12" s="55">
        <f>AVERAGE(Sales!C10:N10)</f>
        <v>15.08333333</v>
      </c>
      <c r="G12" s="59">
        <f>Sales!B10
</f>
        <v>40</v>
      </c>
      <c r="H12" s="57">
        <f>AVERAGE(Sales!C10:N10) * Sales!B10
</f>
        <v>603.3333333</v>
      </c>
      <c r="J12" s="60">
        <v>8.0</v>
      </c>
      <c r="K12" s="61">
        <f>sum(Sales!J2:Sales!J22)</f>
        <v>88</v>
      </c>
      <c r="M12" s="62" t="s">
        <v>30</v>
      </c>
      <c r="N12" s="63">
        <f>SMALL(B4:B24,1)</f>
        <v>1</v>
      </c>
      <c r="P12" s="66">
        <v>3.0</v>
      </c>
      <c r="Q12" s="68">
        <v>5.0</v>
      </c>
      <c r="S12" s="66">
        <v>6.0</v>
      </c>
      <c r="T12" s="67">
        <v>19.0</v>
      </c>
      <c r="V12" s="66">
        <v>6.0</v>
      </c>
      <c r="W12" s="68">
        <v>0.0</v>
      </c>
    </row>
    <row r="13">
      <c r="A13" s="5" t="s">
        <v>24</v>
      </c>
      <c r="B13" s="53">
        <f>(SUM(Sales!C11:N11))
</f>
        <v>121</v>
      </c>
      <c r="C13" s="53">
        <f>MAX(Sales!C11:N11)</f>
        <v>12</v>
      </c>
      <c r="D13" s="53">
        <f>MIN(Sales!C11:N11)</f>
        <v>8</v>
      </c>
      <c r="E13" s="54">
        <f>Sales!B11*Calculations!B13</f>
        <v>4840</v>
      </c>
      <c r="F13" s="55">
        <f>AVERAGE(Sales!C11:N11)</f>
        <v>10.08333333</v>
      </c>
      <c r="G13" s="59">
        <f>Sales!B11
</f>
        <v>40</v>
      </c>
      <c r="H13" s="57">
        <f>AVERAGE(Sales!C11:N11) * Sales!B11
</f>
        <v>403.3333333</v>
      </c>
      <c r="J13" s="60">
        <v>9.0</v>
      </c>
      <c r="K13" s="61">
        <f>sum(Sales!K2:Sales!K22)</f>
        <v>100</v>
      </c>
      <c r="M13" s="62" t="s">
        <v>32</v>
      </c>
      <c r="N13" s="63">
        <f>SMALL(B4:B24,2)</f>
        <v>3</v>
      </c>
      <c r="P13" s="66">
        <v>4.0</v>
      </c>
      <c r="Q13" s="68">
        <v>7.0</v>
      </c>
      <c r="S13" s="66">
        <v>7.0</v>
      </c>
      <c r="T13" s="67">
        <v>20.0</v>
      </c>
      <c r="V13" s="66">
        <v>7.0</v>
      </c>
      <c r="W13" s="68">
        <v>1.0</v>
      </c>
    </row>
    <row r="14">
      <c r="A14" s="5" t="s">
        <v>25</v>
      </c>
      <c r="B14" s="53">
        <f>(SUM(Sales!C12:N12))
</f>
        <v>95</v>
      </c>
      <c r="C14" s="53">
        <f>MAX(Sales!C12:N12)</f>
        <v>12</v>
      </c>
      <c r="D14" s="53">
        <f>MIN(Sales!C12:N12)</f>
        <v>5</v>
      </c>
      <c r="E14" s="54">
        <f>Sales!B12*Calculations!B14</f>
        <v>10450</v>
      </c>
      <c r="F14" s="55">
        <f>AVERAGE(Sales!C12:N12)</f>
        <v>7.916666667</v>
      </c>
      <c r="G14" s="59">
        <f>Sales!B12
</f>
        <v>110</v>
      </c>
      <c r="H14" s="57">
        <f>AVERAGE(Sales!C12:N12) * Sales!B12
</f>
        <v>870.8333333</v>
      </c>
      <c r="J14" s="60">
        <v>10.0</v>
      </c>
      <c r="K14" s="61">
        <f>sum(Sales!L2:Sales!L22)</f>
        <v>93</v>
      </c>
      <c r="M14" s="62" t="s">
        <v>31</v>
      </c>
      <c r="N14" s="63">
        <f>SMALL(B4:B24,3)</f>
        <v>4</v>
      </c>
      <c r="P14" s="66">
        <v>5.0</v>
      </c>
      <c r="Q14" s="68">
        <v>9.0</v>
      </c>
      <c r="S14" s="66">
        <v>8.0</v>
      </c>
      <c r="T14" s="67">
        <v>17.0</v>
      </c>
      <c r="V14" s="66">
        <v>8.0</v>
      </c>
      <c r="W14" s="68">
        <v>0.0</v>
      </c>
    </row>
    <row r="15">
      <c r="A15" s="5" t="s">
        <v>26</v>
      </c>
      <c r="B15" s="53">
        <f>(SUM(Sales!C13:N13))
</f>
        <v>67</v>
      </c>
      <c r="C15" s="53">
        <f>MAX(Sales!C13:N13)</f>
        <v>10</v>
      </c>
      <c r="D15" s="53">
        <f>MIN(Sales!C13:N13)</f>
        <v>2</v>
      </c>
      <c r="E15" s="54">
        <f>Sales!B13*Calculations!B15</f>
        <v>3350</v>
      </c>
      <c r="F15" s="55">
        <f>AVERAGE(Sales!C13:N13)</f>
        <v>5.583333333</v>
      </c>
      <c r="G15" s="59">
        <f>Sales!B13
</f>
        <v>50</v>
      </c>
      <c r="H15" s="57">
        <f>AVERAGE(Sales!C13:N13) * Sales!B13
</f>
        <v>279.1666667</v>
      </c>
      <c r="J15" s="60">
        <v>11.0</v>
      </c>
      <c r="K15" s="61">
        <f>sum(Sales!M2:Sales!M22)</f>
        <v>80</v>
      </c>
      <c r="M15" s="71" t="s">
        <v>16</v>
      </c>
      <c r="N15" s="70">
        <f>SMALL(B4:B24,4)</f>
        <v>10</v>
      </c>
      <c r="P15" s="66">
        <v>6.0</v>
      </c>
      <c r="Q15" s="68">
        <v>6.0</v>
      </c>
      <c r="S15" s="66">
        <v>9.0</v>
      </c>
      <c r="T15" s="67">
        <v>15.0</v>
      </c>
      <c r="V15" s="66">
        <v>9.0</v>
      </c>
      <c r="W15" s="68">
        <v>2.0</v>
      </c>
    </row>
    <row r="16">
      <c r="A16" s="5" t="s">
        <v>27</v>
      </c>
      <c r="B16" s="53">
        <f>(SUM(Sales!C14:N14))
</f>
        <v>32</v>
      </c>
      <c r="C16" s="53">
        <f>MAX(Sales!C14:N14)</f>
        <v>6</v>
      </c>
      <c r="D16" s="53">
        <f>MIN(Sales!C14:N14)</f>
        <v>0</v>
      </c>
      <c r="E16" s="54">
        <f>Sales!B14*Calculations!B16</f>
        <v>1920</v>
      </c>
      <c r="F16" s="55">
        <f>AVERAGE(Sales!C14:N14)</f>
        <v>2.666666667</v>
      </c>
      <c r="G16" s="59">
        <f>Sales!B14
</f>
        <v>60</v>
      </c>
      <c r="H16" s="57">
        <f>AVERAGE(Sales!C14:N14) * Sales!B14
</f>
        <v>160</v>
      </c>
      <c r="J16" s="72">
        <v>12.0</v>
      </c>
      <c r="K16" s="73">
        <f>sum(Sales!N2:Sales!N22)</f>
        <v>102</v>
      </c>
      <c r="P16" s="66">
        <v>7.0</v>
      </c>
      <c r="Q16" s="68">
        <v>8.0</v>
      </c>
      <c r="S16" s="66">
        <v>10.0</v>
      </c>
      <c r="T16" s="67">
        <v>13.0</v>
      </c>
      <c r="V16" s="66">
        <v>10.0</v>
      </c>
      <c r="W16" s="68">
        <v>1.0</v>
      </c>
    </row>
    <row r="17">
      <c r="A17" s="5" t="s">
        <v>28</v>
      </c>
      <c r="B17" s="54">
        <f>(SUM(Sales!C15:N15))
</f>
        <v>46</v>
      </c>
      <c r="C17" s="54">
        <f>MAX(Sales!C15:N15)</f>
        <v>6</v>
      </c>
      <c r="D17" s="54">
        <f>MIN(Sales!C15:N15)</f>
        <v>2</v>
      </c>
      <c r="E17" s="54">
        <f>Sales!B15*Calculations!B17</f>
        <v>3680</v>
      </c>
      <c r="F17" s="59">
        <f>AVERAGE(Sales!C15:N15)</f>
        <v>3.833333333</v>
      </c>
      <c r="G17" s="59">
        <f>Sales!B15
</f>
        <v>80</v>
      </c>
      <c r="H17" s="57">
        <f>AVERAGE(Sales!C15:N15) * Sales!B15
</f>
        <v>306.6666667</v>
      </c>
      <c r="P17" s="66">
        <v>8.0</v>
      </c>
      <c r="Q17" s="68">
        <v>5.0</v>
      </c>
      <c r="S17" s="66">
        <v>11.0</v>
      </c>
      <c r="T17" s="67">
        <v>12.0</v>
      </c>
      <c r="V17" s="66">
        <v>11.0</v>
      </c>
      <c r="W17" s="68">
        <v>0.0</v>
      </c>
    </row>
    <row r="18">
      <c r="A18" s="5" t="s">
        <v>29</v>
      </c>
      <c r="B18" s="54">
        <f>(SUM(Sales!C16:N16))
</f>
        <v>15</v>
      </c>
      <c r="C18" s="54">
        <f>MAX(Sales!C16:N16)</f>
        <v>3</v>
      </c>
      <c r="D18" s="54">
        <f>MIN(Sales!C16:N16)</f>
        <v>0</v>
      </c>
      <c r="E18" s="54">
        <f>Sales!B16*Calculations!B18</f>
        <v>7350</v>
      </c>
      <c r="F18" s="59">
        <f>AVERAGE(Sales!C16:N16)</f>
        <v>1.25</v>
      </c>
      <c r="G18" s="59">
        <f>Sales!B16
</f>
        <v>490</v>
      </c>
      <c r="H18" s="57">
        <f>AVERAGE(Sales!C16:N16) * Sales!B16
</f>
        <v>612.5</v>
      </c>
      <c r="M18" s="65" t="s">
        <v>45</v>
      </c>
      <c r="N18" s="25" t="s">
        <v>54</v>
      </c>
      <c r="P18" s="66">
        <v>9.0</v>
      </c>
      <c r="Q18" s="68">
        <v>7.0</v>
      </c>
      <c r="S18" s="74">
        <v>12.0</v>
      </c>
      <c r="T18" s="75">
        <v>13.0</v>
      </c>
      <c r="V18" s="74">
        <v>12.0</v>
      </c>
      <c r="W18" s="76">
        <v>1.0</v>
      </c>
    </row>
    <row r="19">
      <c r="A19" s="5" t="s">
        <v>30</v>
      </c>
      <c r="B19" s="54">
        <f>(SUM(Sales!C17:N17))
</f>
        <v>1</v>
      </c>
      <c r="C19" s="54">
        <f>MAX(Sales!C17:N17)</f>
        <v>1</v>
      </c>
      <c r="D19" s="54">
        <f>MIN(Sales!C17:N17)</f>
        <v>0</v>
      </c>
      <c r="E19" s="54">
        <f>Sales!B17*Calculations!B19</f>
        <v>570</v>
      </c>
      <c r="F19" s="59">
        <f>AVERAGE(Sales!C17:N17)</f>
        <v>0.08333333333</v>
      </c>
      <c r="G19" s="59">
        <f>Sales!B17
</f>
        <v>570</v>
      </c>
      <c r="H19" s="57">
        <f>AVERAGE(Sales!C17:N17) * Sales!B17
</f>
        <v>47.5</v>
      </c>
      <c r="J19" s="25" t="s">
        <v>45</v>
      </c>
      <c r="K19" s="25" t="s">
        <v>46</v>
      </c>
      <c r="M19" s="62" t="s">
        <v>30</v>
      </c>
      <c r="N19" s="63">
        <f>SMALL(E4:E24,1)</f>
        <v>570</v>
      </c>
      <c r="P19" s="66">
        <v>10.0</v>
      </c>
      <c r="Q19" s="68">
        <v>6.0</v>
      </c>
    </row>
    <row r="20">
      <c r="A20" s="5" t="s">
        <v>31</v>
      </c>
      <c r="B20" s="53">
        <f>(SUM(Sales!C18:N18))
</f>
        <v>4</v>
      </c>
      <c r="C20" s="53">
        <f>MAX(Sales!C18:N18)</f>
        <v>2</v>
      </c>
      <c r="D20" s="53">
        <f>MIN(Sales!C18:N18)</f>
        <v>0</v>
      </c>
      <c r="E20" s="54">
        <f>Sales!B18*Calculations!B20</f>
        <v>6000</v>
      </c>
      <c r="F20" s="55">
        <f>AVERAGE(Sales!C18:N18)</f>
        <v>0.3333333333</v>
      </c>
      <c r="G20" s="56">
        <f>Sales!B18
</f>
        <v>1500</v>
      </c>
      <c r="H20" s="57">
        <f>AVERAGE(Sales!C18:N18) * Sales!B18
</f>
        <v>500</v>
      </c>
      <c r="J20" s="62" t="s">
        <v>23</v>
      </c>
      <c r="K20" s="63">
        <f>LARGE(B4:B24,1)</f>
        <v>181</v>
      </c>
      <c r="M20" s="62" t="s">
        <v>32</v>
      </c>
      <c r="N20" s="63">
        <f>SMALL(E4:E24,2)</f>
        <v>1380</v>
      </c>
      <c r="P20" s="66">
        <v>11.0</v>
      </c>
      <c r="Q20" s="68">
        <v>5.0</v>
      </c>
      <c r="S20" s="34" t="s">
        <v>57</v>
      </c>
      <c r="T20" s="77">
        <f>RSQ(Aata_Noodles_Sales_Trend[Sales], Aata_Noodles_Sales_Trend[Week])</f>
        <v>0.001008804738</v>
      </c>
      <c r="V20" s="34" t="s">
        <v>57</v>
      </c>
      <c r="W20" s="77">
        <f>RSQ(Men_Shirt_trend_analysis[Sales], Men_Shirt_trend_analysis[Week])</f>
        <v>0</v>
      </c>
    </row>
    <row r="21">
      <c r="A21" s="5" t="s">
        <v>32</v>
      </c>
      <c r="B21" s="54">
        <f>(SUM(Sales!C19:N19))
</f>
        <v>3</v>
      </c>
      <c r="C21" s="54">
        <f>MAX(Sales!C19:N19)</f>
        <v>1</v>
      </c>
      <c r="D21" s="54">
        <f>MIN(Sales!C19:N19)</f>
        <v>0</v>
      </c>
      <c r="E21" s="54">
        <f>Sales!B19*Calculations!B21</f>
        <v>1380</v>
      </c>
      <c r="F21" s="59">
        <f>AVERAGE(Sales!C19:N19)</f>
        <v>0.25</v>
      </c>
      <c r="G21" s="59">
        <f>Sales!B19
</f>
        <v>460</v>
      </c>
      <c r="H21" s="57">
        <f>AVERAGE(Sales!C19:N19) * Sales!B19
</f>
        <v>115</v>
      </c>
      <c r="J21" s="64" t="s">
        <v>24</v>
      </c>
      <c r="K21" s="63">
        <f>LARGE(B4:B24,2)</f>
        <v>121</v>
      </c>
      <c r="M21" s="64" t="s">
        <v>27</v>
      </c>
      <c r="N21" s="63">
        <f>SMALL(E4:E24,3)</f>
        <v>1920</v>
      </c>
      <c r="O21" s="78"/>
      <c r="P21" s="74">
        <v>12.0</v>
      </c>
      <c r="Q21" s="76">
        <v>7.0</v>
      </c>
      <c r="S21" s="34" t="s">
        <v>58</v>
      </c>
      <c r="T21" s="77">
        <f>_xlfn.T.TEST(T7:T12, T13:T18, 2, 3)</f>
        <v>0.9230218001</v>
      </c>
    </row>
    <row r="22">
      <c r="A22" s="5" t="s">
        <v>33</v>
      </c>
      <c r="B22" s="53">
        <f>(SUM(Sales!C20:N20))
</f>
        <v>40</v>
      </c>
      <c r="C22" s="53">
        <f>MAX(Sales!C20:N20)</f>
        <v>5</v>
      </c>
      <c r="D22" s="53">
        <f>MIN(Sales!C20:N20)</f>
        <v>1</v>
      </c>
      <c r="E22" s="54">
        <f>Sales!B20*Calculations!B22</f>
        <v>4800</v>
      </c>
      <c r="F22" s="55">
        <f>AVERAGE(Sales!C20:N20)</f>
        <v>3.333333333</v>
      </c>
      <c r="G22" s="59">
        <f>Sales!B20
</f>
        <v>120</v>
      </c>
      <c r="H22" s="57">
        <f>AVERAGE(Sales!C20:N20) * Sales!B20
</f>
        <v>400</v>
      </c>
      <c r="J22" s="64" t="s">
        <v>25</v>
      </c>
      <c r="K22" s="63">
        <f>LARGE(B4:B24,3)</f>
        <v>95</v>
      </c>
      <c r="M22" s="71" t="s">
        <v>18</v>
      </c>
      <c r="N22" s="70">
        <f>SMALL(E4:E24,4)</f>
        <v>3120</v>
      </c>
      <c r="O22" s="79"/>
    </row>
    <row r="23">
      <c r="A23" s="5" t="s">
        <v>34</v>
      </c>
      <c r="B23" s="53">
        <f>(SUM(Sales!C21:N21))
</f>
        <v>66</v>
      </c>
      <c r="C23" s="53">
        <f>MAX(Sales!C21:N21)</f>
        <v>11</v>
      </c>
      <c r="D23" s="53">
        <f>MIN(Sales!C21:N21)</f>
        <v>2</v>
      </c>
      <c r="E23" s="54">
        <f>Sales!B21*Calculations!B23</f>
        <v>3960</v>
      </c>
      <c r="F23" s="55">
        <f>AVERAGE(Sales!C21:N21)</f>
        <v>5.5</v>
      </c>
      <c r="G23" s="59">
        <f>Sales!B21
</f>
        <v>60</v>
      </c>
      <c r="H23" s="57">
        <f>AVERAGE(Sales!C21:N21) * Sales!B21
</f>
        <v>330</v>
      </c>
      <c r="J23" s="64" t="s">
        <v>17</v>
      </c>
      <c r="K23" s="63">
        <f>LARGE(B4:B24,4)</f>
        <v>93</v>
      </c>
      <c r="P23" s="34" t="s">
        <v>59</v>
      </c>
      <c r="Q23" s="34">
        <f>IF(Revenue!C7=0, "",Revenue!D7/Revenue!C7)*100
</f>
        <v>13.92405063</v>
      </c>
    </row>
    <row r="24">
      <c r="A24" s="5" t="s">
        <v>35</v>
      </c>
      <c r="B24" s="54">
        <f>(SUM(Sales!C22:N22))
</f>
        <v>76</v>
      </c>
      <c r="C24" s="54">
        <f>MAX(Sales!C22:N22)</f>
        <v>10</v>
      </c>
      <c r="D24" s="54">
        <f>MIN(Sales!C22:N22)</f>
        <v>2</v>
      </c>
      <c r="E24" s="54">
        <f>Sales!B22*Calculations!B24</f>
        <v>6080</v>
      </c>
      <c r="F24" s="59">
        <f>AVERAGE(Sales!C22:N22)</f>
        <v>6.333333333</v>
      </c>
      <c r="G24" s="59">
        <f>Sales!B22
</f>
        <v>80</v>
      </c>
      <c r="H24" s="57">
        <f>AVERAGE(Sales!C22:N22) * Sales!B22
</f>
        <v>506.6666667</v>
      </c>
      <c r="J24" s="80" t="s">
        <v>60</v>
      </c>
      <c r="K24" s="81">
        <f>B25-SUM(K20:K23)</f>
        <v>705</v>
      </c>
    </row>
    <row r="25">
      <c r="A25" s="82" t="s">
        <v>14</v>
      </c>
      <c r="B25" s="83">
        <f>SUM(B4:B24)</f>
        <v>1195</v>
      </c>
      <c r="C25" s="84"/>
      <c r="D25" s="84"/>
      <c r="E25" s="84">
        <f>SUM(E4:E24)</f>
        <v>303437</v>
      </c>
      <c r="F25" s="84"/>
      <c r="G25" s="84" t="str">
        <f>Sales!B23
</f>
        <v/>
      </c>
      <c r="H25" s="85">
        <f>AVERAGE(Sales!C23:N23) * Sales!B23
</f>
        <v>0</v>
      </c>
      <c r="R25" s="86" t="s">
        <v>0</v>
      </c>
      <c r="S25" s="87" t="s">
        <v>61</v>
      </c>
      <c r="T25" s="88" t="s">
        <v>62</v>
      </c>
    </row>
    <row r="26">
      <c r="A26" s="82" t="s">
        <v>63</v>
      </c>
      <c r="B26" s="89"/>
      <c r="C26" s="89"/>
      <c r="D26" s="89"/>
      <c r="E26" s="89"/>
      <c r="F26" s="90">
        <f t="shared" ref="F26:H26" si="1">AVERAGE(F4:F24)</f>
        <v>4.742063492</v>
      </c>
      <c r="G26" s="91">
        <f t="shared" si="1"/>
        <v>371.3333333</v>
      </c>
      <c r="H26" s="92">
        <f t="shared" si="1"/>
        <v>1204.115079</v>
      </c>
      <c r="R26" s="93" t="s">
        <v>15</v>
      </c>
      <c r="S26" s="94">
        <f>COUNTIF(Sales!C2:N2,0)</f>
        <v>0</v>
      </c>
      <c r="T26" s="95">
        <f t="shared" ref="T26:T46" si="3">IF(S26&gt;=3,1,0)</f>
        <v>0</v>
      </c>
    </row>
    <row r="27" ht="27.0" customHeight="1">
      <c r="A27" s="82" t="s">
        <v>64</v>
      </c>
      <c r="B27" s="89"/>
      <c r="C27" s="89"/>
      <c r="D27" s="89"/>
      <c r="E27" s="89"/>
      <c r="F27" s="96">
        <f t="shared" ref="F27:H27" si="2">_xlfn.STDEV.P(F4:F24)</f>
        <v>3.596818917</v>
      </c>
      <c r="G27" s="96">
        <f t="shared" si="2"/>
        <v>469.4954063</v>
      </c>
      <c r="H27" s="92">
        <f t="shared" si="2"/>
        <v>2445.616134</v>
      </c>
      <c r="R27" s="93" t="s">
        <v>16</v>
      </c>
      <c r="S27" s="95">
        <f>COUNTIF(Sales!C3:N3,0)</f>
        <v>4</v>
      </c>
      <c r="T27" s="95">
        <f t="shared" si="3"/>
        <v>1</v>
      </c>
    </row>
    <row r="28">
      <c r="A28" s="97" t="s">
        <v>65</v>
      </c>
      <c r="B28" s="98"/>
      <c r="C28" s="98"/>
      <c r="D28" s="98"/>
      <c r="E28" s="98"/>
      <c r="F28" s="99">
        <f t="shared" ref="F28:H28" si="4">_xlfn.STDEV.P(F4:F24)/AVERAGE(F4:F24)*100</f>
        <v>75.84923575</v>
      </c>
      <c r="G28" s="100">
        <f t="shared" si="4"/>
        <v>126.4350286</v>
      </c>
      <c r="H28" s="101">
        <f t="shared" si="4"/>
        <v>203.1048507</v>
      </c>
      <c r="J28" s="102" t="s">
        <v>66</v>
      </c>
      <c r="K28" s="103" t="s">
        <v>67</v>
      </c>
      <c r="L28" s="104"/>
      <c r="M28" s="105" t="s">
        <v>66</v>
      </c>
      <c r="N28" s="106" t="s">
        <v>67</v>
      </c>
      <c r="O28" s="107"/>
      <c r="R28" s="93" t="s">
        <v>17</v>
      </c>
      <c r="S28" s="95">
        <f>COUNTIF(Sales!C4:N4,0)</f>
        <v>0</v>
      </c>
      <c r="T28" s="95">
        <f t="shared" si="3"/>
        <v>0</v>
      </c>
    </row>
    <row r="29">
      <c r="J29" s="108" t="s">
        <v>68</v>
      </c>
      <c r="K29" s="109">
        <f>MIN('Weekly Revenue Data'!B2:B13)</f>
        <v>4470</v>
      </c>
      <c r="L29" s="110"/>
      <c r="M29" s="111" t="s">
        <v>69</v>
      </c>
      <c r="N29" s="112">
        <f>AVERAGE('Weekly Revenue Data'!B2:B13)</f>
        <v>23287.08333</v>
      </c>
      <c r="O29" s="113"/>
      <c r="R29" s="93" t="s">
        <v>18</v>
      </c>
      <c r="S29" s="95">
        <f>COUNTIF(Sales!C5:N5,0)</f>
        <v>0</v>
      </c>
      <c r="T29" s="95">
        <f t="shared" si="3"/>
        <v>0</v>
      </c>
    </row>
    <row r="30">
      <c r="J30" s="114" t="s">
        <v>70</v>
      </c>
      <c r="K30" s="115">
        <f>MAX('Weekly Revenue Data'!B2:B13)</f>
        <v>30590</v>
      </c>
      <c r="L30" s="110"/>
      <c r="M30" s="111" t="s">
        <v>71</v>
      </c>
      <c r="N30" s="116">
        <f>_xlfn.STDEV.P('Weekly Revenue Data'!B2:B13)</f>
        <v>6929.435456</v>
      </c>
      <c r="O30" s="117"/>
      <c r="R30" s="93" t="s">
        <v>19</v>
      </c>
      <c r="S30" s="95">
        <f>COUNTIF(Sales!C6:N6,0)</f>
        <v>0</v>
      </c>
      <c r="T30" s="95">
        <f t="shared" si="3"/>
        <v>0</v>
      </c>
    </row>
    <row r="31">
      <c r="J31" s="114" t="s">
        <v>72</v>
      </c>
      <c r="K31" s="118">
        <f>(K30-K29)/K29*100</f>
        <v>584.3400447</v>
      </c>
      <c r="L31" s="119"/>
      <c r="M31" s="111" t="s">
        <v>73</v>
      </c>
      <c r="N31" s="116">
        <f>_xlfn.STDEV.P('Weekly Revenue Data'!B2:B13)/AVERAGE('Weekly Revenue Data'!B2:B13)*100</f>
        <v>29.75656228</v>
      </c>
      <c r="O31" s="120"/>
      <c r="R31" s="93" t="s">
        <v>20</v>
      </c>
      <c r="S31" s="95">
        <f>COUNTIF(Sales!C7:N7,0)</f>
        <v>0</v>
      </c>
      <c r="T31" s="95">
        <f t="shared" si="3"/>
        <v>0</v>
      </c>
    </row>
    <row r="32">
      <c r="A32" s="25" t="s">
        <v>45</v>
      </c>
      <c r="B32" s="25" t="s">
        <v>46</v>
      </c>
      <c r="C32" s="51" t="s">
        <v>74</v>
      </c>
      <c r="D32" s="51" t="s">
        <v>75</v>
      </c>
      <c r="E32" s="51" t="s">
        <v>76</v>
      </c>
      <c r="F32" s="51" t="s">
        <v>77</v>
      </c>
      <c r="J32" s="114" t="s">
        <v>78</v>
      </c>
      <c r="K32" s="115">
        <f>SUM('Weekly Revenue Data'!B2:B5)</f>
        <v>86509</v>
      </c>
      <c r="L32" s="110"/>
      <c r="M32" s="111" t="s">
        <v>70</v>
      </c>
      <c r="N32" s="112">
        <f>MAX('Weekly Revenue Data'!B2:B13)</f>
        <v>30590</v>
      </c>
      <c r="O32" s="120"/>
      <c r="R32" s="93" t="s">
        <v>21</v>
      </c>
      <c r="S32" s="95">
        <f>COUNTIF(Sales!C8:N8,0)</f>
        <v>0</v>
      </c>
      <c r="T32" s="95">
        <f t="shared" si="3"/>
        <v>0</v>
      </c>
    </row>
    <row r="33">
      <c r="A33" s="62" t="s">
        <v>15</v>
      </c>
      <c r="B33" s="53">
        <v>77.0</v>
      </c>
      <c r="C33" s="59">
        <v>138600.0</v>
      </c>
      <c r="D33" s="59">
        <f>C33
</f>
        <v>138600</v>
      </c>
      <c r="E33" s="59">
        <f t="shared" ref="E33:E53" si="5">D33 / SUM($C$33:$C$53)</f>
        <v>0.456766973</v>
      </c>
      <c r="F33" s="121" t="str">
        <f t="shared" ref="F33:F53" si="6">IF(E33&lt;=0.8,"A",IF(E33&lt;=0.95,"B","C"))</f>
        <v>A</v>
      </c>
      <c r="J33" s="114" t="s">
        <v>79</v>
      </c>
      <c r="K33" s="115">
        <f>SUM('Weekly Revenue Data'!B6:B9)</f>
        <v>104855</v>
      </c>
      <c r="L33" s="110"/>
      <c r="M33" s="111" t="s">
        <v>68</v>
      </c>
      <c r="N33" s="112">
        <f>MIN('Weekly Revenue Data'!B2:B13)</f>
        <v>4470</v>
      </c>
      <c r="O33" s="120"/>
      <c r="R33" s="93" t="s">
        <v>22</v>
      </c>
      <c r="S33" s="95">
        <f>COUNTIF(Sales!C9:N9,0)</f>
        <v>0</v>
      </c>
      <c r="T33" s="95">
        <f t="shared" si="3"/>
        <v>0</v>
      </c>
    </row>
    <row r="34">
      <c r="A34" s="64" t="s">
        <v>17</v>
      </c>
      <c r="B34" s="53">
        <v>93.0</v>
      </c>
      <c r="C34" s="59">
        <v>46407.0</v>
      </c>
      <c r="D34" s="59">
        <f t="shared" ref="D34:D53" si="7">C34+D33</f>
        <v>185007</v>
      </c>
      <c r="E34" s="59">
        <f t="shared" si="5"/>
        <v>0.6097048152</v>
      </c>
      <c r="F34" s="121" t="str">
        <f t="shared" si="6"/>
        <v>A</v>
      </c>
      <c r="J34" s="114" t="s">
        <v>80</v>
      </c>
      <c r="K34" s="115">
        <f>SUM('Weekly Revenue Data'!B10:B13)</f>
        <v>88081</v>
      </c>
      <c r="L34" s="110"/>
      <c r="M34" s="111" t="s">
        <v>81</v>
      </c>
      <c r="N34" s="116">
        <f>(K30-K29)/K29*100</f>
        <v>584.3400447</v>
      </c>
      <c r="O34" s="120"/>
      <c r="R34" s="93" t="s">
        <v>23</v>
      </c>
      <c r="S34" s="95">
        <f>COUNTIF(Sales!C10:N10,0)</f>
        <v>0</v>
      </c>
      <c r="T34" s="95">
        <f t="shared" si="3"/>
        <v>0</v>
      </c>
    </row>
    <row r="35">
      <c r="A35" s="64" t="s">
        <v>19</v>
      </c>
      <c r="B35" s="54">
        <v>44.0</v>
      </c>
      <c r="C35" s="59">
        <v>20240.0</v>
      </c>
      <c r="D35" s="59">
        <f t="shared" si="7"/>
        <v>205247</v>
      </c>
      <c r="E35" s="59">
        <f t="shared" si="5"/>
        <v>0.6764072938</v>
      </c>
      <c r="F35" s="121" t="str">
        <f t="shared" si="6"/>
        <v>A</v>
      </c>
      <c r="J35" s="114" t="s">
        <v>82</v>
      </c>
      <c r="K35" s="118">
        <f>(K33-K32)/K33*100</f>
        <v>17.49654284</v>
      </c>
      <c r="L35" s="122"/>
      <c r="M35" s="111" t="s">
        <v>83</v>
      </c>
      <c r="N35" s="116">
        <f>SUM(S26:S46)</f>
        <v>37</v>
      </c>
      <c r="R35" s="93" t="s">
        <v>24</v>
      </c>
      <c r="S35" s="95">
        <f>COUNTIF(Sales!C11:N11,0)</f>
        <v>0</v>
      </c>
      <c r="T35" s="95">
        <f t="shared" si="3"/>
        <v>0</v>
      </c>
    </row>
    <row r="36">
      <c r="A36" s="64" t="s">
        <v>20</v>
      </c>
      <c r="B36" s="53">
        <v>79.0</v>
      </c>
      <c r="C36" s="59">
        <v>12640.0</v>
      </c>
      <c r="D36" s="59">
        <f t="shared" si="7"/>
        <v>217887</v>
      </c>
      <c r="E36" s="59">
        <f t="shared" si="5"/>
        <v>0.7180633871</v>
      </c>
      <c r="F36" s="121" t="str">
        <f t="shared" si="6"/>
        <v>A</v>
      </c>
      <c r="J36" s="114" t="s">
        <v>84</v>
      </c>
      <c r="K36" s="118">
        <f>(K34 - K33)/K33*100</f>
        <v>-15.99732965</v>
      </c>
      <c r="L36" s="119"/>
      <c r="M36" s="111" t="s">
        <v>85</v>
      </c>
      <c r="N36" s="123">
        <f>SUM(T26:T46)</f>
        <v>4</v>
      </c>
      <c r="R36" s="93" t="s">
        <v>25</v>
      </c>
      <c r="S36" s="95">
        <f>COUNTIF(Sales!C12:N12,0)</f>
        <v>0</v>
      </c>
      <c r="T36" s="95">
        <f t="shared" si="3"/>
        <v>0</v>
      </c>
    </row>
    <row r="37">
      <c r="A37" s="64" t="s">
        <v>25</v>
      </c>
      <c r="B37" s="53">
        <v>95.0</v>
      </c>
      <c r="C37" s="59">
        <v>10450.0</v>
      </c>
      <c r="D37" s="59">
        <f t="shared" si="7"/>
        <v>228337</v>
      </c>
      <c r="E37" s="59">
        <f t="shared" si="5"/>
        <v>0.7525021668</v>
      </c>
      <c r="F37" s="121" t="str">
        <f t="shared" si="6"/>
        <v>A</v>
      </c>
      <c r="J37" s="114" t="s">
        <v>86</v>
      </c>
      <c r="K37" s="115">
        <f>MIN(Sales!C23:N23)</f>
        <v>76</v>
      </c>
      <c r="L37" s="124"/>
      <c r="M37" s="125" t="s">
        <v>87</v>
      </c>
      <c r="N37" s="116">
        <f>MATCH(0.8, Table2[Cumulative %], 1)</f>
        <v>6</v>
      </c>
      <c r="R37" s="93" t="s">
        <v>26</v>
      </c>
      <c r="S37" s="95">
        <f>COUNTIF(Sales!C13:N13,0)</f>
        <v>0</v>
      </c>
      <c r="T37" s="95">
        <f t="shared" si="3"/>
        <v>0</v>
      </c>
    </row>
    <row r="38">
      <c r="A38" s="64" t="s">
        <v>16</v>
      </c>
      <c r="B38" s="54">
        <v>10.0</v>
      </c>
      <c r="C38" s="59">
        <v>7990.0</v>
      </c>
      <c r="D38" s="59">
        <f t="shared" si="7"/>
        <v>236327</v>
      </c>
      <c r="E38" s="59">
        <f t="shared" si="5"/>
        <v>0.7788338271</v>
      </c>
      <c r="F38" s="121" t="str">
        <f t="shared" si="6"/>
        <v>A</v>
      </c>
      <c r="J38" s="114" t="s">
        <v>88</v>
      </c>
      <c r="K38" s="115">
        <f>MAX(Sales!C23:N23)</f>
        <v>128</v>
      </c>
      <c r="L38" s="124"/>
      <c r="M38" s="126" t="s">
        <v>89</v>
      </c>
      <c r="N38" s="127">
        <f t="array" ref="N38">SUM(C33 :INDEX(Table2[Revenue Generated ], N37))/SUM(Table2[Revenue Generated ])*100</f>
        <v>77.88338271</v>
      </c>
      <c r="R38" s="93" t="s">
        <v>27</v>
      </c>
      <c r="S38" s="95">
        <f>COUNTIF(Sales!C14:N14,0)</f>
        <v>2</v>
      </c>
      <c r="T38" s="95">
        <f t="shared" si="3"/>
        <v>0</v>
      </c>
    </row>
    <row r="39">
      <c r="A39" s="64" t="s">
        <v>29</v>
      </c>
      <c r="B39" s="54">
        <v>15.0</v>
      </c>
      <c r="C39" s="59">
        <v>7350.0</v>
      </c>
      <c r="D39" s="59">
        <f t="shared" si="7"/>
        <v>243677</v>
      </c>
      <c r="E39" s="59">
        <f t="shared" si="5"/>
        <v>0.8030563181</v>
      </c>
      <c r="F39" s="121" t="str">
        <f t="shared" si="6"/>
        <v>B</v>
      </c>
      <c r="J39" s="128" t="s">
        <v>90</v>
      </c>
      <c r="K39" s="129">
        <f>AVERAGE(Sales!C23:N23)</f>
        <v>99.58333333</v>
      </c>
      <c r="L39" s="130"/>
      <c r="R39" s="93" t="s">
        <v>28</v>
      </c>
      <c r="S39" s="95">
        <f>COUNTIF(Sales!C15:N15,0)</f>
        <v>0</v>
      </c>
      <c r="T39" s="95">
        <f t="shared" si="3"/>
        <v>0</v>
      </c>
    </row>
    <row r="40">
      <c r="A40" s="62" t="s">
        <v>23</v>
      </c>
      <c r="B40" s="53">
        <v>181.0</v>
      </c>
      <c r="C40" s="59">
        <v>7240.0</v>
      </c>
      <c r="D40" s="59">
        <f t="shared" si="7"/>
        <v>250917</v>
      </c>
      <c r="E40" s="59">
        <f t="shared" si="5"/>
        <v>0.8269162956</v>
      </c>
      <c r="F40" s="121" t="str">
        <f t="shared" si="6"/>
        <v>B</v>
      </c>
      <c r="R40" s="93" t="s">
        <v>29</v>
      </c>
      <c r="S40" s="95">
        <f>COUNTIF(Sales!C16:N16,0)</f>
        <v>2</v>
      </c>
      <c r="T40" s="95">
        <f t="shared" si="3"/>
        <v>0</v>
      </c>
    </row>
    <row r="41">
      <c r="A41" s="64" t="s">
        <v>22</v>
      </c>
      <c r="B41" s="53">
        <v>71.0</v>
      </c>
      <c r="C41" s="59">
        <v>7100.0</v>
      </c>
      <c r="D41" s="59">
        <f t="shared" si="7"/>
        <v>258017</v>
      </c>
      <c r="E41" s="59">
        <f t="shared" si="5"/>
        <v>0.8503148924</v>
      </c>
      <c r="F41" s="121" t="str">
        <f t="shared" si="6"/>
        <v>B</v>
      </c>
      <c r="H41" s="52"/>
      <c r="I41" s="52"/>
      <c r="J41" s="52"/>
      <c r="R41" s="93" t="s">
        <v>30</v>
      </c>
      <c r="S41" s="95">
        <f>COUNTIF(Sales!C17:N17,0)</f>
        <v>11</v>
      </c>
      <c r="T41" s="95">
        <f t="shared" si="3"/>
        <v>1</v>
      </c>
    </row>
    <row r="42">
      <c r="A42" s="64" t="s">
        <v>35</v>
      </c>
      <c r="B42" s="54">
        <v>76.0</v>
      </c>
      <c r="C42" s="59">
        <v>6080.0</v>
      </c>
      <c r="D42" s="59">
        <f t="shared" si="7"/>
        <v>264097</v>
      </c>
      <c r="E42" s="59">
        <f t="shared" si="5"/>
        <v>0.8703520006</v>
      </c>
      <c r="F42" s="121" t="str">
        <f t="shared" si="6"/>
        <v>B</v>
      </c>
      <c r="H42" s="58" t="s">
        <v>41</v>
      </c>
      <c r="I42" s="58" t="s">
        <v>91</v>
      </c>
      <c r="J42" s="58" t="s">
        <v>56</v>
      </c>
      <c r="R42" s="93" t="s">
        <v>31</v>
      </c>
      <c r="S42" s="95">
        <f>COUNTIF(Sales!C18:N18,0)</f>
        <v>9</v>
      </c>
      <c r="T42" s="95">
        <f t="shared" si="3"/>
        <v>1</v>
      </c>
    </row>
    <row r="43">
      <c r="A43" s="62" t="s">
        <v>31</v>
      </c>
      <c r="B43" s="53">
        <v>4.0</v>
      </c>
      <c r="C43" s="59">
        <v>6000.0</v>
      </c>
      <c r="D43" s="59">
        <f t="shared" si="7"/>
        <v>270097</v>
      </c>
      <c r="E43" s="59">
        <f t="shared" si="5"/>
        <v>0.8901254626</v>
      </c>
      <c r="F43" s="121" t="str">
        <f t="shared" si="6"/>
        <v>B</v>
      </c>
      <c r="H43" s="60">
        <v>1.0</v>
      </c>
      <c r="I43" s="131">
        <f>SUMPRODUCT(Sales!B2:Sales!B22, Sales!C2:Sales!C22)
</f>
        <v>24252</v>
      </c>
      <c r="J43" s="61">
        <f>sum(Sales!C2:Sales!C22)</f>
        <v>113</v>
      </c>
      <c r="R43" s="93" t="s">
        <v>32</v>
      </c>
      <c r="S43" s="95">
        <f>COUNTIF(Sales!C19:N19,0)</f>
        <v>9</v>
      </c>
      <c r="T43" s="95">
        <f t="shared" si="3"/>
        <v>1</v>
      </c>
    </row>
    <row r="44">
      <c r="A44" s="64" t="s">
        <v>21</v>
      </c>
      <c r="B44" s="53">
        <v>22.0</v>
      </c>
      <c r="C44" s="59">
        <v>5720.0</v>
      </c>
      <c r="D44" s="59">
        <f t="shared" si="7"/>
        <v>275817</v>
      </c>
      <c r="E44" s="59">
        <f t="shared" si="5"/>
        <v>0.9089761631</v>
      </c>
      <c r="F44" s="121" t="str">
        <f t="shared" si="6"/>
        <v>B</v>
      </c>
      <c r="H44" s="60">
        <v>2.0</v>
      </c>
      <c r="I44" s="131">
        <f>SUMPRODUCT(Sales!B2:Sales!B22, Sales!D2:Sales!D22)
</f>
        <v>17752</v>
      </c>
      <c r="J44" s="61">
        <f>sum(Sales!D2:Sales!D22)</f>
        <v>76</v>
      </c>
      <c r="R44" s="93" t="s">
        <v>33</v>
      </c>
      <c r="S44" s="95">
        <f>COUNTIF(Sales!C20:N20,0)</f>
        <v>0</v>
      </c>
      <c r="T44" s="95">
        <f t="shared" si="3"/>
        <v>0</v>
      </c>
    </row>
    <row r="45">
      <c r="A45" s="64" t="s">
        <v>24</v>
      </c>
      <c r="B45" s="53">
        <v>121.0</v>
      </c>
      <c r="C45" s="59">
        <v>4840.0</v>
      </c>
      <c r="D45" s="59">
        <f t="shared" si="7"/>
        <v>280657</v>
      </c>
      <c r="E45" s="59">
        <f t="shared" si="5"/>
        <v>0.9249267558</v>
      </c>
      <c r="F45" s="121" t="str">
        <f t="shared" si="6"/>
        <v>B</v>
      </c>
      <c r="H45" s="60">
        <v>3.0</v>
      </c>
      <c r="I45" s="131">
        <f>SUMPRODUCT(Sales!B2:Sales!B22, Sales!E2:Sales!E22)
</f>
        <v>19974</v>
      </c>
      <c r="J45" s="61">
        <f>sum(Sales!E2:Sales!E22)</f>
        <v>104</v>
      </c>
      <c r="R45" s="93" t="s">
        <v>34</v>
      </c>
      <c r="S45" s="95">
        <f>COUNTIF(Sales!C21:N21,0)</f>
        <v>0</v>
      </c>
      <c r="T45" s="95">
        <f t="shared" si="3"/>
        <v>0</v>
      </c>
      <c r="V45" s="132"/>
      <c r="W45" s="132"/>
      <c r="X45" s="132"/>
      <c r="Y45" s="132"/>
    </row>
    <row r="46">
      <c r="A46" s="64" t="s">
        <v>33</v>
      </c>
      <c r="B46" s="53">
        <v>40.0</v>
      </c>
      <c r="C46" s="59">
        <v>4800.0</v>
      </c>
      <c r="D46" s="59">
        <f t="shared" si="7"/>
        <v>285457</v>
      </c>
      <c r="E46" s="59">
        <f t="shared" si="5"/>
        <v>0.9407455254</v>
      </c>
      <c r="F46" s="121" t="str">
        <f t="shared" si="6"/>
        <v>B</v>
      </c>
      <c r="H46" s="60">
        <v>4.0</v>
      </c>
      <c r="I46" s="131">
        <f>SUMPRODUCT(Sales!B2:Sales!B22, Sales!F2:Sales!F22)
</f>
        <v>24531</v>
      </c>
      <c r="J46" s="61">
        <f>sum(Sales!F2:Sales!F22)</f>
        <v>100</v>
      </c>
      <c r="L46" s="133"/>
      <c r="M46" s="133"/>
      <c r="R46" s="93" t="s">
        <v>35</v>
      </c>
      <c r="S46" s="95">
        <f>COUNTIF(Sales!C22:N22,0)</f>
        <v>0</v>
      </c>
      <c r="T46" s="95">
        <f t="shared" si="3"/>
        <v>0</v>
      </c>
    </row>
    <row r="47">
      <c r="A47" s="64" t="s">
        <v>34</v>
      </c>
      <c r="B47" s="53">
        <v>66.0</v>
      </c>
      <c r="C47" s="59">
        <v>3960.0</v>
      </c>
      <c r="D47" s="59">
        <f t="shared" si="7"/>
        <v>289417</v>
      </c>
      <c r="E47" s="59">
        <f t="shared" si="5"/>
        <v>0.9537960104</v>
      </c>
      <c r="F47" s="121" t="str">
        <f t="shared" si="6"/>
        <v>C</v>
      </c>
      <c r="H47" s="60">
        <v>5.0</v>
      </c>
      <c r="I47" s="131">
        <f>SUMPRODUCT(Sales!B2:Sales!B22, Sales!G2:Sales!G22)
</f>
        <v>29430</v>
      </c>
      <c r="J47" s="61">
        <f>sum(Sales!G2:Sales!G22)</f>
        <v>117</v>
      </c>
      <c r="L47" s="65" t="s">
        <v>41</v>
      </c>
      <c r="M47" s="65" t="s">
        <v>56</v>
      </c>
      <c r="O47" s="65" t="s">
        <v>41</v>
      </c>
      <c r="P47" s="65" t="s">
        <v>56</v>
      </c>
      <c r="R47" s="134" t="s">
        <v>14</v>
      </c>
      <c r="S47" s="95">
        <f t="shared" ref="S47:T47" si="8">SUM(S26:S46)</f>
        <v>37</v>
      </c>
      <c r="T47" s="77">
        <f t="shared" si="8"/>
        <v>4</v>
      </c>
    </row>
    <row r="48">
      <c r="A48" s="62" t="s">
        <v>28</v>
      </c>
      <c r="B48" s="54">
        <v>46.0</v>
      </c>
      <c r="C48" s="59">
        <v>3680.0</v>
      </c>
      <c r="D48" s="59">
        <f t="shared" si="7"/>
        <v>293097</v>
      </c>
      <c r="E48" s="59">
        <f t="shared" si="5"/>
        <v>0.9659237338</v>
      </c>
      <c r="F48" s="121" t="str">
        <f t="shared" si="6"/>
        <v>C</v>
      </c>
      <c r="H48" s="60">
        <v>6.0</v>
      </c>
      <c r="I48" s="131">
        <f>SUMPRODUCT(Sales!B2:Sales!B22, Sales!H2:Sales!H22)
</f>
        <v>19912</v>
      </c>
      <c r="J48" s="61">
        <f>sum(Sales!H2:Sales!H22)</f>
        <v>94</v>
      </c>
      <c r="L48" s="66">
        <v>1.0</v>
      </c>
      <c r="M48" s="135">
        <v>5.0</v>
      </c>
      <c r="O48" s="66">
        <v>1.0</v>
      </c>
      <c r="P48" s="68">
        <v>5.0</v>
      </c>
      <c r="R48" s="133"/>
      <c r="U48" s="136"/>
    </row>
    <row r="49">
      <c r="A49" s="64" t="s">
        <v>26</v>
      </c>
      <c r="B49" s="53">
        <v>67.0</v>
      </c>
      <c r="C49" s="59">
        <v>3350.0</v>
      </c>
      <c r="D49" s="59">
        <f t="shared" si="7"/>
        <v>296447</v>
      </c>
      <c r="E49" s="59">
        <f t="shared" si="5"/>
        <v>0.9769639167</v>
      </c>
      <c r="F49" s="121" t="str">
        <f t="shared" si="6"/>
        <v>C</v>
      </c>
      <c r="H49" s="60">
        <v>7.0</v>
      </c>
      <c r="I49" s="131">
        <f>SUMPRODUCT(Sales!B2:Sales!B22, Sales!I2:Sales!I22)
</f>
        <v>30469</v>
      </c>
      <c r="J49" s="61">
        <f>sum(Sales!I2:Sales!I22)</f>
        <v>128</v>
      </c>
      <c r="L49" s="66">
        <v>2.0</v>
      </c>
      <c r="M49" s="67">
        <v>4.0</v>
      </c>
      <c r="O49" s="66">
        <v>2.0</v>
      </c>
      <c r="P49" s="68">
        <v>1.0</v>
      </c>
      <c r="R49" s="133"/>
    </row>
    <row r="50">
      <c r="A50" s="64" t="s">
        <v>18</v>
      </c>
      <c r="B50" s="53">
        <v>52.0</v>
      </c>
      <c r="C50" s="59">
        <v>3120.0</v>
      </c>
      <c r="D50" s="59">
        <f t="shared" si="7"/>
        <v>299567</v>
      </c>
      <c r="E50" s="59">
        <f t="shared" si="5"/>
        <v>0.987246117</v>
      </c>
      <c r="F50" s="121" t="str">
        <f t="shared" si="6"/>
        <v>C</v>
      </c>
      <c r="H50" s="60">
        <v>8.0</v>
      </c>
      <c r="I50" s="131">
        <f>SUMPRODUCT(Sales!B2:Sales!B22, Sales!J2:Sales!J22)
</f>
        <v>25044</v>
      </c>
      <c r="J50" s="61">
        <f>sum(Sales!J2:Sales!J22)</f>
        <v>88</v>
      </c>
      <c r="L50" s="66">
        <v>3.0</v>
      </c>
      <c r="M50" s="67">
        <v>4.0</v>
      </c>
      <c r="O50" s="66">
        <v>3.0</v>
      </c>
      <c r="P50" s="68">
        <v>3.0</v>
      </c>
      <c r="R50" s="133"/>
    </row>
    <row r="51">
      <c r="A51" s="64" t="s">
        <v>27</v>
      </c>
      <c r="B51" s="53">
        <v>32.0</v>
      </c>
      <c r="C51" s="59">
        <v>1920.0</v>
      </c>
      <c r="D51" s="59">
        <f t="shared" si="7"/>
        <v>301487</v>
      </c>
      <c r="E51" s="59">
        <f t="shared" si="5"/>
        <v>0.9935736248</v>
      </c>
      <c r="F51" s="121" t="str">
        <f t="shared" si="6"/>
        <v>C</v>
      </c>
      <c r="H51" s="60">
        <v>9.0</v>
      </c>
      <c r="I51" s="131">
        <f>SUMPRODUCT(Sales!B2:Sales!B22, Sales!K2:Sales!K22)
</f>
        <v>26759</v>
      </c>
      <c r="J51" s="61">
        <f>sum(Sales!K2:Sales!K22)</f>
        <v>100</v>
      </c>
      <c r="L51" s="66">
        <v>4.0</v>
      </c>
      <c r="M51" s="67">
        <v>5.0</v>
      </c>
      <c r="O51" s="66">
        <v>4.0</v>
      </c>
      <c r="P51" s="68">
        <v>4.0</v>
      </c>
      <c r="R51" s="133"/>
    </row>
    <row r="52">
      <c r="A52" s="62" t="s">
        <v>32</v>
      </c>
      <c r="B52" s="54">
        <v>3.0</v>
      </c>
      <c r="C52" s="59">
        <v>1380.0</v>
      </c>
      <c r="D52" s="59">
        <f t="shared" si="7"/>
        <v>302867</v>
      </c>
      <c r="E52" s="59">
        <f t="shared" si="5"/>
        <v>0.9981215211</v>
      </c>
      <c r="F52" s="121" t="str">
        <f t="shared" si="6"/>
        <v>C</v>
      </c>
      <c r="H52" s="60">
        <v>10.0</v>
      </c>
      <c r="I52" s="131">
        <f>SUMPRODUCT(Sales!B2:Sales!B22, Sales!L2:Sales!L22)
</f>
        <v>28462</v>
      </c>
      <c r="J52" s="61">
        <f>sum(Sales!L2:Sales!L22)</f>
        <v>93</v>
      </c>
      <c r="L52" s="66">
        <v>5.0</v>
      </c>
      <c r="M52" s="67">
        <v>6.0</v>
      </c>
      <c r="O52" s="66">
        <v>5.0</v>
      </c>
      <c r="P52" s="68">
        <v>5.0</v>
      </c>
      <c r="R52" s="133"/>
    </row>
    <row r="53">
      <c r="A53" s="69" t="s">
        <v>30</v>
      </c>
      <c r="B53" s="137">
        <v>1.0</v>
      </c>
      <c r="C53" s="138">
        <v>570.0</v>
      </c>
      <c r="D53" s="138">
        <f t="shared" si="7"/>
        <v>303437</v>
      </c>
      <c r="E53" s="138">
        <f t="shared" si="5"/>
        <v>1</v>
      </c>
      <c r="F53" s="139" t="str">
        <f t="shared" si="6"/>
        <v>C</v>
      </c>
      <c r="H53" s="60">
        <v>11.0</v>
      </c>
      <c r="I53" s="131">
        <f>SUMPRODUCT(Sales!B2:Sales!B22, Sales!M2:Sales!M22)
</f>
        <v>26262</v>
      </c>
      <c r="J53" s="61">
        <f>sum(Sales!M2:Sales!M22)</f>
        <v>80</v>
      </c>
      <c r="L53" s="66">
        <v>6.0</v>
      </c>
      <c r="M53" s="67">
        <v>5.0</v>
      </c>
      <c r="O53" s="66">
        <v>6.0</v>
      </c>
      <c r="P53" s="68">
        <v>2.0</v>
      </c>
      <c r="R53" s="133"/>
    </row>
    <row r="54">
      <c r="H54" s="72">
        <v>12.0</v>
      </c>
      <c r="I54" s="140">
        <f>SUMPRODUCT(Sales!B2:Sales!B22, Sales!N2:Sales!N22)
</f>
        <v>30590</v>
      </c>
      <c r="J54" s="73">
        <f>sum(Sales!N2:Sales!N22)</f>
        <v>102</v>
      </c>
      <c r="L54" s="66">
        <v>7.0</v>
      </c>
      <c r="M54" s="67">
        <v>7.0</v>
      </c>
      <c r="O54" s="66">
        <v>7.0</v>
      </c>
      <c r="P54" s="68">
        <v>6.0</v>
      </c>
      <c r="R54" s="133"/>
    </row>
    <row r="55">
      <c r="L55" s="66">
        <v>8.0</v>
      </c>
      <c r="M55" s="67">
        <v>8.0</v>
      </c>
      <c r="O55" s="66">
        <v>8.0</v>
      </c>
      <c r="P55" s="68">
        <v>4.0</v>
      </c>
      <c r="R55" s="133"/>
    </row>
    <row r="56">
      <c r="L56" s="66">
        <v>9.0</v>
      </c>
      <c r="M56" s="67">
        <v>7.0</v>
      </c>
      <c r="O56" s="66">
        <v>9.0</v>
      </c>
      <c r="P56" s="68">
        <v>3.0</v>
      </c>
      <c r="R56" s="133"/>
    </row>
    <row r="57">
      <c r="A57" s="25" t="s">
        <v>45</v>
      </c>
      <c r="B57" s="25" t="s">
        <v>46</v>
      </c>
      <c r="C57" s="141" t="s">
        <v>92</v>
      </c>
      <c r="D57" s="25" t="s">
        <v>93</v>
      </c>
      <c r="F57" s="142"/>
      <c r="G57" s="142"/>
      <c r="H57" s="142"/>
      <c r="L57" s="66">
        <v>10.0</v>
      </c>
      <c r="M57" s="67">
        <v>9.0</v>
      </c>
      <c r="O57" s="66">
        <v>10.0</v>
      </c>
      <c r="P57" s="68">
        <v>4.0</v>
      </c>
      <c r="R57" s="133"/>
    </row>
    <row r="58">
      <c r="A58" s="62" t="s">
        <v>23</v>
      </c>
      <c r="B58" s="53">
        <f>(SUM(Sales!C10:N10))
</f>
        <v>181</v>
      </c>
      <c r="D58" s="63">
        <f t="shared" ref="D58:D78" si="9">ROUND((B58/$B$79)*100,2)
</f>
        <v>15.15</v>
      </c>
      <c r="F58" s="25" t="s">
        <v>45</v>
      </c>
      <c r="G58" s="25" t="s">
        <v>46</v>
      </c>
      <c r="H58" s="25" t="s">
        <v>94</v>
      </c>
      <c r="L58" s="66">
        <v>11.0</v>
      </c>
      <c r="M58" s="67">
        <v>8.0</v>
      </c>
      <c r="O58" s="66">
        <v>11.0</v>
      </c>
      <c r="P58" s="68">
        <v>2.0</v>
      </c>
      <c r="R58" s="133"/>
    </row>
    <row r="59">
      <c r="A59" s="64" t="s">
        <v>24</v>
      </c>
      <c r="B59" s="53">
        <f>(SUM(Sales!C11:N11))
</f>
        <v>121</v>
      </c>
      <c r="D59" s="63">
        <f t="shared" si="9"/>
        <v>10.13</v>
      </c>
      <c r="F59" s="5" t="s">
        <v>15</v>
      </c>
      <c r="G59" s="54">
        <f>Sales!B2*Calculations!B4</f>
        <v>138600</v>
      </c>
      <c r="H59" s="63">
        <f t="shared" ref="H59:H79" si="10">ROUND((G59/$G$80)*100,2)
</f>
        <v>45.68</v>
      </c>
      <c r="L59" s="74">
        <v>12.0</v>
      </c>
      <c r="M59" s="143">
        <v>9.0</v>
      </c>
      <c r="O59" s="74">
        <v>12.0</v>
      </c>
      <c r="P59" s="76">
        <v>5.0</v>
      </c>
      <c r="R59" s="133"/>
    </row>
    <row r="60">
      <c r="A60" s="64" t="s">
        <v>25</v>
      </c>
      <c r="B60" s="53">
        <f>(SUM(Sales!C12:N12))
</f>
        <v>95</v>
      </c>
      <c r="D60" s="63">
        <f t="shared" si="9"/>
        <v>7.95</v>
      </c>
      <c r="F60" s="5" t="s">
        <v>16</v>
      </c>
      <c r="G60" s="54">
        <f>Sales!B3*Calculations!B5</f>
        <v>7990</v>
      </c>
      <c r="H60" s="63">
        <f t="shared" si="10"/>
        <v>2.63</v>
      </c>
      <c r="R60" s="133"/>
    </row>
    <row r="61">
      <c r="A61" s="64" t="s">
        <v>17</v>
      </c>
      <c r="B61" s="53">
        <f>(SUM(Sales!C4:N4))
</f>
        <v>93</v>
      </c>
      <c r="D61" s="63">
        <f t="shared" si="9"/>
        <v>7.78</v>
      </c>
      <c r="F61" s="5" t="s">
        <v>17</v>
      </c>
      <c r="G61" s="54">
        <f>Sales!B4*Calculations!B6</f>
        <v>46407</v>
      </c>
      <c r="H61" s="63">
        <f t="shared" si="10"/>
        <v>15.29</v>
      </c>
      <c r="L61" s="144" t="s">
        <v>58</v>
      </c>
      <c r="M61" s="145">
        <f>_xlfn.T.TEST(M48:M53, M54:M59, 2, 3)</f>
        <v>0.00006663682588</v>
      </c>
      <c r="O61" s="34" t="s">
        <v>59</v>
      </c>
      <c r="P61" s="77">
        <f>IF(Revenue!C6=0, "", Revenue!D6/Revenue!C6)*100
</f>
        <v>13.63636364</v>
      </c>
      <c r="R61" s="133"/>
    </row>
    <row r="62">
      <c r="A62" s="64" t="s">
        <v>20</v>
      </c>
      <c r="B62" s="53">
        <f>(SUM(Sales!C7:N7))
</f>
        <v>79</v>
      </c>
      <c r="D62" s="63">
        <f t="shared" si="9"/>
        <v>6.61</v>
      </c>
      <c r="F62" s="5" t="s">
        <v>18</v>
      </c>
      <c r="G62" s="54">
        <f>Sales!B5*Calculations!B7</f>
        <v>3120</v>
      </c>
      <c r="H62" s="63">
        <f t="shared" si="10"/>
        <v>1.03</v>
      </c>
      <c r="L62" s="146" t="s">
        <v>95</v>
      </c>
      <c r="M62" s="77">
        <f>RSQ(Test_Pricing_for_Ladies_Suit[Sales], Test_Pricing_for_Ladies_Suit[Week])</f>
        <v>0.8376927813</v>
      </c>
    </row>
    <row r="63">
      <c r="A63" s="64" t="s">
        <v>96</v>
      </c>
      <c r="B63" s="53">
        <f>(SUM(Sales!C2:N2))
</f>
        <v>77</v>
      </c>
      <c r="D63" s="63">
        <f t="shared" si="9"/>
        <v>6.44</v>
      </c>
      <c r="F63" s="5" t="s">
        <v>19</v>
      </c>
      <c r="G63" s="54">
        <f>Sales!B6*Calculations!B8</f>
        <v>20240</v>
      </c>
      <c r="H63" s="63">
        <f t="shared" si="10"/>
        <v>6.67</v>
      </c>
    </row>
    <row r="64">
      <c r="A64" s="64" t="s">
        <v>35</v>
      </c>
      <c r="B64" s="54">
        <f>(SUM(Sales!C22:N22))
</f>
        <v>76</v>
      </c>
      <c r="D64" s="63">
        <f t="shared" si="9"/>
        <v>6.36</v>
      </c>
      <c r="F64" s="5" t="s">
        <v>20</v>
      </c>
      <c r="G64" s="54">
        <f>Sales!B7*Calculations!B9</f>
        <v>12640</v>
      </c>
      <c r="H64" s="63">
        <f t="shared" si="10"/>
        <v>4.17</v>
      </c>
    </row>
    <row r="65">
      <c r="A65" s="64" t="s">
        <v>22</v>
      </c>
      <c r="B65" s="53">
        <f>(SUM(Sales!C9:N9))
</f>
        <v>71</v>
      </c>
      <c r="D65" s="63">
        <f t="shared" si="9"/>
        <v>5.94</v>
      </c>
      <c r="F65" s="5" t="s">
        <v>21</v>
      </c>
      <c r="G65" s="54">
        <f>Sales!B8*Calculations!B10</f>
        <v>5720</v>
      </c>
      <c r="H65" s="63">
        <f t="shared" si="10"/>
        <v>1.89</v>
      </c>
    </row>
    <row r="66">
      <c r="A66" s="64" t="s">
        <v>26</v>
      </c>
      <c r="B66" s="53">
        <f>(SUM(Sales!C13:N13))
</f>
        <v>67</v>
      </c>
      <c r="D66" s="63">
        <f t="shared" si="9"/>
        <v>5.61</v>
      </c>
      <c r="F66" s="5" t="s">
        <v>22</v>
      </c>
      <c r="G66" s="54">
        <f>Sales!B9*Calculations!B11</f>
        <v>7100</v>
      </c>
      <c r="H66" s="63">
        <f t="shared" si="10"/>
        <v>2.34</v>
      </c>
      <c r="S66" s="24"/>
      <c r="T66" s="147"/>
    </row>
    <row r="67">
      <c r="A67" s="64" t="s">
        <v>34</v>
      </c>
      <c r="B67" s="53">
        <f>(SUM(Sales!C21:N21))
</f>
        <v>66</v>
      </c>
      <c r="D67" s="63">
        <f t="shared" si="9"/>
        <v>5.52</v>
      </c>
      <c r="F67" s="5" t="s">
        <v>23</v>
      </c>
      <c r="G67" s="54">
        <f>Sales!B10*Calculations!B12</f>
        <v>7240</v>
      </c>
      <c r="H67" s="63">
        <f t="shared" si="10"/>
        <v>2.39</v>
      </c>
    </row>
    <row r="68">
      <c r="A68" s="64" t="s">
        <v>18</v>
      </c>
      <c r="B68" s="53">
        <f>(SUM(Sales!C5:N5))
</f>
        <v>52</v>
      </c>
      <c r="D68" s="63">
        <f t="shared" si="9"/>
        <v>4.35</v>
      </c>
      <c r="F68" s="5" t="s">
        <v>24</v>
      </c>
      <c r="G68" s="54">
        <f>Sales!B11*Calculations!B13</f>
        <v>4840</v>
      </c>
      <c r="H68" s="63">
        <f t="shared" si="10"/>
        <v>1.6</v>
      </c>
    </row>
    <row r="69">
      <c r="A69" s="62" t="s">
        <v>28</v>
      </c>
      <c r="B69" s="54">
        <f>(SUM(Sales!C15:N15))
</f>
        <v>46</v>
      </c>
      <c r="D69" s="63">
        <f t="shared" si="9"/>
        <v>3.85</v>
      </c>
      <c r="F69" s="5" t="s">
        <v>25</v>
      </c>
      <c r="G69" s="54">
        <f>Sales!B12*Calculations!B14</f>
        <v>10450</v>
      </c>
      <c r="H69" s="63">
        <f t="shared" si="10"/>
        <v>3.44</v>
      </c>
    </row>
    <row r="70">
      <c r="A70" s="64" t="s">
        <v>19</v>
      </c>
      <c r="B70" s="54">
        <f>(SUM(Sales!C6:N6))
</f>
        <v>44</v>
      </c>
      <c r="D70" s="63">
        <f t="shared" si="9"/>
        <v>3.68</v>
      </c>
      <c r="F70" s="5" t="s">
        <v>26</v>
      </c>
      <c r="G70" s="54">
        <f>Sales!B13*Calculations!B15</f>
        <v>3350</v>
      </c>
      <c r="H70" s="63">
        <f t="shared" si="10"/>
        <v>1.1</v>
      </c>
    </row>
    <row r="71">
      <c r="A71" s="64" t="s">
        <v>33</v>
      </c>
      <c r="B71" s="53">
        <f>(SUM(Sales!C20:N20))
</f>
        <v>40</v>
      </c>
      <c r="D71" s="63">
        <f t="shared" si="9"/>
        <v>3.35</v>
      </c>
      <c r="F71" s="5" t="s">
        <v>27</v>
      </c>
      <c r="G71" s="54">
        <f>Sales!B14*Calculations!B16</f>
        <v>1920</v>
      </c>
      <c r="H71" s="63">
        <f t="shared" si="10"/>
        <v>0.63</v>
      </c>
    </row>
    <row r="72">
      <c r="A72" s="64" t="s">
        <v>27</v>
      </c>
      <c r="B72" s="53">
        <f>(SUM(Sales!C14:N14))
</f>
        <v>32</v>
      </c>
      <c r="D72" s="63">
        <f t="shared" si="9"/>
        <v>2.68</v>
      </c>
      <c r="F72" s="5" t="s">
        <v>28</v>
      </c>
      <c r="G72" s="54">
        <f>Sales!B15*Calculations!B17</f>
        <v>3680</v>
      </c>
      <c r="H72" s="63">
        <f t="shared" si="10"/>
        <v>1.21</v>
      </c>
    </row>
    <row r="73">
      <c r="A73" s="64" t="s">
        <v>21</v>
      </c>
      <c r="B73" s="53">
        <f>(SUM(Sales!C8:N8))
</f>
        <v>22</v>
      </c>
      <c r="D73" s="63">
        <f t="shared" si="9"/>
        <v>1.84</v>
      </c>
      <c r="F73" s="5" t="s">
        <v>29</v>
      </c>
      <c r="G73" s="54">
        <f>Sales!B16*Calculations!B18</f>
        <v>7350</v>
      </c>
      <c r="H73" s="63">
        <f t="shared" si="10"/>
        <v>2.42</v>
      </c>
    </row>
    <row r="74">
      <c r="A74" s="64" t="s">
        <v>29</v>
      </c>
      <c r="B74" s="54">
        <f>(SUM(Sales!C16:N16))
</f>
        <v>15</v>
      </c>
      <c r="D74" s="63">
        <f t="shared" si="9"/>
        <v>1.26</v>
      </c>
      <c r="F74" s="5" t="s">
        <v>30</v>
      </c>
      <c r="G74" s="54">
        <f>Sales!B17*Calculations!B19</f>
        <v>570</v>
      </c>
      <c r="H74" s="63">
        <f t="shared" si="10"/>
        <v>0.19</v>
      </c>
    </row>
    <row r="75">
      <c r="A75" s="64" t="s">
        <v>16</v>
      </c>
      <c r="B75" s="54">
        <f>(SUM(Sales!C3:N3))
</f>
        <v>10</v>
      </c>
      <c r="D75" s="63">
        <f t="shared" si="9"/>
        <v>0.84</v>
      </c>
      <c r="F75" s="5" t="s">
        <v>31</v>
      </c>
      <c r="G75" s="54">
        <f>Sales!B18*Calculations!B20</f>
        <v>6000</v>
      </c>
      <c r="H75" s="63">
        <f t="shared" si="10"/>
        <v>1.98</v>
      </c>
    </row>
    <row r="76">
      <c r="A76" s="62" t="s">
        <v>31</v>
      </c>
      <c r="B76" s="53">
        <f>(SUM(Sales!C18:N18))
</f>
        <v>4</v>
      </c>
      <c r="D76" s="63">
        <f t="shared" si="9"/>
        <v>0.33</v>
      </c>
      <c r="F76" s="5" t="s">
        <v>32</v>
      </c>
      <c r="G76" s="54">
        <f>Sales!B19*Calculations!B21</f>
        <v>1380</v>
      </c>
      <c r="H76" s="63">
        <f t="shared" si="10"/>
        <v>0.45</v>
      </c>
    </row>
    <row r="77">
      <c r="A77" s="62" t="s">
        <v>32</v>
      </c>
      <c r="B77" s="54">
        <f>(SUM(Sales!C19:N19))
</f>
        <v>3</v>
      </c>
      <c r="D77" s="63">
        <f t="shared" si="9"/>
        <v>0.25</v>
      </c>
      <c r="F77" s="5" t="s">
        <v>33</v>
      </c>
      <c r="G77" s="54">
        <f>Sales!B20*Calculations!B22</f>
        <v>4800</v>
      </c>
      <c r="H77" s="63">
        <f t="shared" si="10"/>
        <v>1.58</v>
      </c>
    </row>
    <row r="78">
      <c r="A78" s="69" t="s">
        <v>30</v>
      </c>
      <c r="B78" s="137">
        <f>(SUM(Sales!C17:N17))
</f>
        <v>1</v>
      </c>
      <c r="D78" s="70">
        <f t="shared" si="9"/>
        <v>0.08</v>
      </c>
      <c r="F78" s="5" t="s">
        <v>34</v>
      </c>
      <c r="G78" s="54">
        <f>Sales!B21*Calculations!B23</f>
        <v>3960</v>
      </c>
      <c r="H78" s="63">
        <f t="shared" si="10"/>
        <v>1.31</v>
      </c>
    </row>
    <row r="79">
      <c r="B79" s="148">
        <f>SUM(B58:B78)</f>
        <v>1195</v>
      </c>
      <c r="F79" s="149" t="s">
        <v>35</v>
      </c>
      <c r="G79" s="137">
        <f>Sales!B22*Calculations!B24</f>
        <v>6080</v>
      </c>
      <c r="H79" s="70">
        <f t="shared" si="10"/>
        <v>2</v>
      </c>
    </row>
    <row r="80">
      <c r="G80" s="77">
        <f>SUM(G59:G79)</f>
        <v>303437</v>
      </c>
    </row>
    <row r="92">
      <c r="K92" s="120"/>
    </row>
    <row r="93">
      <c r="K93" s="120"/>
    </row>
    <row r="94">
      <c r="K94" s="120"/>
    </row>
    <row r="95">
      <c r="K95" s="120"/>
    </row>
    <row r="96">
      <c r="K96" s="120"/>
    </row>
    <row r="99">
      <c r="B99" s="133"/>
      <c r="C99" s="133"/>
      <c r="D99" s="133"/>
    </row>
    <row r="100">
      <c r="B100" s="133"/>
      <c r="C100" s="133"/>
      <c r="D100" s="133"/>
    </row>
    <row r="101">
      <c r="B101" s="133"/>
      <c r="C101" s="133"/>
      <c r="D101" s="133"/>
    </row>
    <row r="102">
      <c r="B102" s="133"/>
      <c r="C102" s="133"/>
      <c r="D102" s="133"/>
    </row>
    <row r="103">
      <c r="B103" s="133"/>
      <c r="C103" s="133"/>
      <c r="D103" s="133"/>
    </row>
    <row r="104">
      <c r="B104" s="133"/>
      <c r="C104" s="133"/>
      <c r="D104" s="133"/>
    </row>
    <row r="105">
      <c r="B105" s="133"/>
      <c r="C105" s="133"/>
      <c r="D105" s="133"/>
    </row>
    <row r="106">
      <c r="B106" s="133"/>
      <c r="C106" s="133"/>
      <c r="D106" s="133"/>
    </row>
    <row r="107">
      <c r="B107" s="133"/>
      <c r="C107" s="133"/>
      <c r="D107" s="133"/>
    </row>
    <row r="108">
      <c r="B108" s="133"/>
      <c r="C108" s="133"/>
      <c r="D108" s="133"/>
    </row>
    <row r="109">
      <c r="B109" s="133"/>
      <c r="C109" s="133"/>
      <c r="D109" s="133"/>
    </row>
    <row r="110">
      <c r="B110" s="133"/>
      <c r="C110" s="133"/>
      <c r="D110" s="133"/>
    </row>
    <row r="111">
      <c r="B111" s="133"/>
      <c r="C111" s="133"/>
      <c r="D111" s="133"/>
    </row>
    <row r="112">
      <c r="B112" s="133"/>
      <c r="C112" s="133"/>
      <c r="D112" s="133"/>
    </row>
    <row r="113">
      <c r="B113" s="133"/>
      <c r="C113" s="133"/>
      <c r="D113" s="133"/>
    </row>
    <row r="114">
      <c r="B114" s="133"/>
      <c r="C114" s="133"/>
      <c r="D114" s="133"/>
    </row>
    <row r="115">
      <c r="B115" s="133"/>
      <c r="C115" s="133"/>
      <c r="D115" s="133"/>
    </row>
    <row r="116">
      <c r="B116" s="133"/>
      <c r="C116" s="133"/>
      <c r="D116" s="133"/>
    </row>
    <row r="122">
      <c r="F122" s="133"/>
      <c r="G122" s="133"/>
      <c r="H122" s="133"/>
    </row>
    <row r="123">
      <c r="F123" s="133"/>
      <c r="G123" s="133"/>
      <c r="H123" s="133"/>
    </row>
    <row r="124">
      <c r="F124" s="133"/>
      <c r="G124" s="133"/>
      <c r="H124" s="133"/>
    </row>
    <row r="125">
      <c r="F125" s="133"/>
      <c r="G125" s="133"/>
      <c r="H125" s="133"/>
    </row>
  </sheetData>
  <dataValidations>
    <dataValidation type="custom" allowBlank="1" showDropDown="1" sqref="S7:T18 V7:W18 P10:Q21 L48:M59 O48:P59">
      <formula1>AND(ISNUMBER(L7),(NOT(OR(NOT(ISERROR(DATEVALUE(L7))), AND(ISNUMBER(L7), LEFT(CELL("format", L7))="D")))))</formula1>
    </dataValidation>
    <dataValidation allowBlank="1" showDropDown="1" sqref="F33:F53"/>
  </dataValidations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/>
    </row>
  </sheetData>
  <drawing r:id="rId1"/>
  <tableParts count="1">
    <tablePart r:id="rId3"/>
  </tableParts>
</worksheet>
</file>